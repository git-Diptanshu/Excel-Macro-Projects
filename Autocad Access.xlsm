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 EXCEL\Macro Projects\Autocad Access\"/>
    </mc:Choice>
  </mc:AlternateContent>
  <bookViews>
    <workbookView xWindow="0" yWindow="0" windowWidth="23040" windowHeight="9072" firstSheet="1" activeTab="1"/>
  </bookViews>
  <sheets>
    <sheet name="Cross-sections" sheetId="2" state="hidden" r:id="rId1"/>
    <sheet name="Busduct" sheetId="1" r:id="rId2"/>
  </sheets>
  <functionGroups builtInGroupCount="18"/>
  <calcPr calcId="162913"/>
</workbook>
</file>

<file path=xl/calcChain.xml><?xml version="1.0" encoding="utf-8"?>
<calcChain xmlns="http://schemas.openxmlformats.org/spreadsheetml/2006/main">
  <c r="BS8" i="1" l="1"/>
  <c r="BS9" i="1" s="1"/>
  <c r="BM8" i="1"/>
  <c r="BM9" i="1" s="1"/>
  <c r="BG8" i="1"/>
  <c r="BG9" i="1" s="1"/>
  <c r="BG6" i="1"/>
  <c r="BG10" i="1" s="1"/>
  <c r="BF6" i="1"/>
  <c r="BE6" i="1"/>
  <c r="BE9" i="1" s="1"/>
  <c r="BM6" i="1" l="1"/>
  <c r="BS6" i="1" s="1"/>
  <c r="BS7" i="1" s="1"/>
  <c r="BG7" i="1"/>
  <c r="BE7" i="1"/>
  <c r="BK6" i="1" s="1"/>
  <c r="BE10" i="1"/>
  <c r="BR8" i="1"/>
  <c r="BR9" i="1" s="1"/>
  <c r="BL8" i="1"/>
  <c r="BL9" i="1" s="1"/>
  <c r="BF8" i="1"/>
  <c r="BF9" i="1" s="1"/>
  <c r="BD6" i="1"/>
  <c r="BS10" i="1" l="1"/>
  <c r="BM10" i="1"/>
  <c r="BM7" i="1"/>
  <c r="BK10" i="1"/>
  <c r="BK9" i="1"/>
  <c r="BK7" i="1"/>
  <c r="BE8" i="1"/>
  <c r="BD7" i="1"/>
  <c r="BF7" i="1"/>
  <c r="BL6" i="1"/>
  <c r="BF10" i="1"/>
  <c r="BD9" i="1"/>
  <c r="BD10" i="1"/>
  <c r="CH4" i="1"/>
  <c r="CJ6" i="1" s="1"/>
  <c r="AY4" i="1"/>
  <c r="BA6" i="1" s="1"/>
  <c r="BC6" i="1" s="1"/>
  <c r="AX4" i="1"/>
  <c r="AZ6" i="1" s="1"/>
  <c r="BT6" i="1" s="1"/>
  <c r="W6" i="1"/>
  <c r="V6" i="1"/>
  <c r="D28" i="2"/>
  <c r="D27" i="2"/>
  <c r="D20" i="2"/>
  <c r="D19" i="2"/>
  <c r="CN6" i="1" l="1"/>
  <c r="CN7" i="1" s="1"/>
  <c r="CR6" i="1"/>
  <c r="CO8" i="1"/>
  <c r="CQ8" i="1"/>
  <c r="CQ9" i="1" s="1"/>
  <c r="CL6" i="1"/>
  <c r="CL9" i="1" s="1"/>
  <c r="CC6" i="1"/>
  <c r="CC7" i="1" s="1"/>
  <c r="CC8" i="1" s="1"/>
  <c r="CC11" i="1"/>
  <c r="CC14" i="1" s="1"/>
  <c r="BK8" i="1"/>
  <c r="BQ6" i="1"/>
  <c r="BD8" i="1"/>
  <c r="BR6" i="1"/>
  <c r="BJ6" i="1"/>
  <c r="BI6" i="1"/>
  <c r="BL7" i="1"/>
  <c r="BL10" i="1"/>
  <c r="W8" i="1"/>
  <c r="AA6" i="1"/>
  <c r="AJ6" i="1"/>
  <c r="AJ13" i="1" s="1"/>
  <c r="AJ14" i="1" s="1"/>
  <c r="AJ15" i="1" s="1"/>
  <c r="Z6" i="1"/>
  <c r="Y6" i="1"/>
  <c r="AK6" i="1"/>
  <c r="AK7" i="1" s="1"/>
  <c r="AK8" i="1" s="1"/>
  <c r="AK9" i="1" s="1"/>
  <c r="AK10" i="1" s="1"/>
  <c r="AK11" i="1" s="1"/>
  <c r="AK12" i="1" s="1"/>
  <c r="BB6" i="1"/>
  <c r="V7" i="1"/>
  <c r="AZ7" i="1"/>
  <c r="BT9" i="1" s="1"/>
  <c r="X6" i="1"/>
  <c r="BU6" i="1"/>
  <c r="BU7" i="1" s="1"/>
  <c r="BU8" i="1" s="1"/>
  <c r="BA8" i="1"/>
  <c r="BO8" i="1" s="1"/>
  <c r="BO9" i="1" s="1"/>
  <c r="CJ7" i="1"/>
  <c r="CL7" i="1" s="1"/>
  <c r="BT7" i="1"/>
  <c r="CI4" i="1"/>
  <c r="CK6" i="1" s="1"/>
  <c r="CJ10" i="1"/>
  <c r="AZ10" i="1"/>
  <c r="BA10" i="1"/>
  <c r="BA7" i="1"/>
  <c r="W7" i="1"/>
  <c r="W10" i="1"/>
  <c r="V10" i="1"/>
  <c r="CN8" i="1" l="1"/>
  <c r="CR7" i="1"/>
  <c r="CR10" i="1" s="1"/>
  <c r="CR11" i="1" s="1"/>
  <c r="CR8" i="1"/>
  <c r="CR9" i="1" s="1"/>
  <c r="CN10" i="1"/>
  <c r="CN9" i="1"/>
  <c r="CE11" i="1"/>
  <c r="CE14" i="1" s="1"/>
  <c r="CE6" i="1"/>
  <c r="CE7" i="1" s="1"/>
  <c r="AS6" i="1"/>
  <c r="AS7" i="1" s="1"/>
  <c r="BW11" i="1"/>
  <c r="BW14" i="1" s="1"/>
  <c r="CB6" i="1"/>
  <c r="CB13" i="1" s="1"/>
  <c r="BQ9" i="1"/>
  <c r="BQ10" i="1"/>
  <c r="BQ7" i="1"/>
  <c r="BQ8" i="1" s="1"/>
  <c r="CC9" i="1"/>
  <c r="CC10" i="1" s="1"/>
  <c r="CC12" i="1" s="1"/>
  <c r="CC13" i="1" s="1"/>
  <c r="CC15" i="1" s="1"/>
  <c r="CC16" i="1" s="1"/>
  <c r="BJ7" i="1"/>
  <c r="BP6" i="1" s="1"/>
  <c r="BP7" i="1" s="1"/>
  <c r="BP8" i="1" s="1"/>
  <c r="BY11" i="1"/>
  <c r="BV6" i="1"/>
  <c r="BV13" i="1" s="1"/>
  <c r="BO6" i="1"/>
  <c r="AC8" i="1"/>
  <c r="AC9" i="1" s="1"/>
  <c r="AI8" i="1"/>
  <c r="AI9" i="1" s="1"/>
  <c r="AE8" i="1"/>
  <c r="AE9" i="1" s="1"/>
  <c r="AA8" i="1"/>
  <c r="AA9" i="1" s="1"/>
  <c r="AA7" i="1"/>
  <c r="AA10" i="1"/>
  <c r="AE6" i="1"/>
  <c r="Y8" i="1"/>
  <c r="Y9" i="1" s="1"/>
  <c r="AG8" i="1"/>
  <c r="AG9" i="1" s="1"/>
  <c r="Z9" i="1"/>
  <c r="Z10" i="1"/>
  <c r="AJ9" i="1"/>
  <c r="AJ10" i="1" s="1"/>
  <c r="AJ11" i="1" s="1"/>
  <c r="AJ12" i="1" s="1"/>
  <c r="Z7" i="1"/>
  <c r="AD6" i="1" s="1"/>
  <c r="AR6" i="1"/>
  <c r="AR13" i="1" s="1"/>
  <c r="AR14" i="1" s="1"/>
  <c r="AR15" i="1" s="1"/>
  <c r="AM11" i="1"/>
  <c r="AM14" i="1" s="1"/>
  <c r="AS11" i="1"/>
  <c r="AS14" i="1" s="1"/>
  <c r="AL6" i="1"/>
  <c r="AL13" i="1" s="1"/>
  <c r="BB9" i="1"/>
  <c r="AC6" i="1"/>
  <c r="Y7" i="1"/>
  <c r="X7" i="1"/>
  <c r="AB6" i="1" s="1"/>
  <c r="V8" i="1"/>
  <c r="V9" i="1" s="1"/>
  <c r="BC8" i="1"/>
  <c r="BW6" i="1" s="1"/>
  <c r="BW7" i="1" s="1"/>
  <c r="BI8" i="1"/>
  <c r="BI9" i="1" s="1"/>
  <c r="BB7" i="1"/>
  <c r="BV8" i="1" s="1"/>
  <c r="CM6" i="1"/>
  <c r="CK8" i="1"/>
  <c r="Y10" i="1"/>
  <c r="AK13" i="1"/>
  <c r="AK14" i="1" s="1"/>
  <c r="AK15" i="1" s="1"/>
  <c r="AJ7" i="1"/>
  <c r="AJ8" i="1" s="1"/>
  <c r="CL10" i="1"/>
  <c r="CK7" i="1"/>
  <c r="CK10" i="1"/>
  <c r="BB10" i="1"/>
  <c r="CJ8" i="1"/>
  <c r="CP6" i="1" s="1"/>
  <c r="BC10" i="1"/>
  <c r="BC7" i="1"/>
  <c r="BA9" i="1"/>
  <c r="AZ8" i="1"/>
  <c r="AZ9" i="1" s="1"/>
  <c r="W9" i="1"/>
  <c r="X9" i="1"/>
  <c r="X10" i="1"/>
  <c r="CR12" i="1" l="1"/>
  <c r="CR13" i="1" s="1"/>
  <c r="CQ6" i="1"/>
  <c r="CQ7" i="1" s="1"/>
  <c r="CS6" i="1"/>
  <c r="CS11" i="1" s="1"/>
  <c r="CP7" i="1"/>
  <c r="CP8" i="1" s="1"/>
  <c r="CP10" i="1"/>
  <c r="CP9" i="1"/>
  <c r="CO6" i="1"/>
  <c r="CM7" i="1"/>
  <c r="CM8" i="1" s="1"/>
  <c r="CG11" i="1"/>
  <c r="CG14" i="1" s="1"/>
  <c r="CG6" i="1"/>
  <c r="CG7" i="1" s="1"/>
  <c r="CG8" i="1" s="1"/>
  <c r="CA11" i="1"/>
  <c r="AU6" i="1"/>
  <c r="AU7" i="1" s="1"/>
  <c r="CB8" i="1"/>
  <c r="CB9" i="1" s="1"/>
  <c r="CE8" i="1"/>
  <c r="CE9" i="1"/>
  <c r="CE10" i="1" s="1"/>
  <c r="CE12" i="1" s="1"/>
  <c r="CE13" i="1" s="1"/>
  <c r="CE15" i="1" s="1"/>
  <c r="CE16" i="1" s="1"/>
  <c r="CB14" i="1"/>
  <c r="CB15" i="1" s="1"/>
  <c r="CB16" i="1"/>
  <c r="CB7" i="1"/>
  <c r="BP10" i="1"/>
  <c r="BP9" i="1"/>
  <c r="BO7" i="1"/>
  <c r="CA6" i="1"/>
  <c r="CA7" i="1" s="1"/>
  <c r="BY6" i="1"/>
  <c r="BY7" i="1" s="1"/>
  <c r="BV14" i="1"/>
  <c r="BV15" i="1" s="1"/>
  <c r="BW8" i="1"/>
  <c r="BV9" i="1"/>
  <c r="BV7" i="1"/>
  <c r="BV16" i="1"/>
  <c r="BY14" i="1"/>
  <c r="BO10" i="1"/>
  <c r="BR7" i="1"/>
  <c r="BR10" i="1"/>
  <c r="BH6" i="1"/>
  <c r="BJ9" i="1"/>
  <c r="BJ10" i="1" s="1"/>
  <c r="AM6" i="1"/>
  <c r="AM7" i="1" s="1"/>
  <c r="AM8" i="1" s="1"/>
  <c r="Z8" i="1"/>
  <c r="AI6" i="1"/>
  <c r="AE10" i="1"/>
  <c r="AE7" i="1"/>
  <c r="AD7" i="1"/>
  <c r="AD9" i="1"/>
  <c r="AD10" i="1" s="1"/>
  <c r="AU11" i="1"/>
  <c r="AU14" i="1" s="1"/>
  <c r="AT6" i="1"/>
  <c r="AT13" i="1" s="1"/>
  <c r="AT14" i="1" s="1"/>
  <c r="AT15" i="1" s="1"/>
  <c r="AR8" i="1"/>
  <c r="AR9" i="1" s="1"/>
  <c r="AO11" i="1"/>
  <c r="AO14" i="1" s="1"/>
  <c r="AO6" i="1"/>
  <c r="AO9" i="1" s="1"/>
  <c r="AO10" i="1" s="1"/>
  <c r="AO12" i="1" s="1"/>
  <c r="AO13" i="1" s="1"/>
  <c r="AO15" i="1" s="1"/>
  <c r="AO16" i="1" s="1"/>
  <c r="AN6" i="1"/>
  <c r="AN13" i="1" s="1"/>
  <c r="AL14" i="1"/>
  <c r="AL15" i="1" s="1"/>
  <c r="AL8" i="1"/>
  <c r="AL9" i="1" s="1"/>
  <c r="AG6" i="1"/>
  <c r="BC9" i="1"/>
  <c r="AC10" i="1"/>
  <c r="AC7" i="1"/>
  <c r="AS8" i="1"/>
  <c r="AS9" i="1"/>
  <c r="AS10" i="1" s="1"/>
  <c r="AS12" i="1" s="1"/>
  <c r="AS13" i="1" s="1"/>
  <c r="AS15" i="1" s="1"/>
  <c r="AS16" i="1" s="1"/>
  <c r="AR7" i="1"/>
  <c r="AR16" i="1"/>
  <c r="AL16" i="1"/>
  <c r="AL7" i="1"/>
  <c r="AB7" i="1"/>
  <c r="AF6" i="1" s="1"/>
  <c r="CM10" i="1"/>
  <c r="CL8" i="1"/>
  <c r="CJ9" i="1"/>
  <c r="CK9" i="1"/>
  <c r="BI10" i="1"/>
  <c r="BI7" i="1"/>
  <c r="BB8" i="1"/>
  <c r="X8" i="1"/>
  <c r="CQ10" i="1" l="1"/>
  <c r="CS17" i="1"/>
  <c r="CS12" i="1"/>
  <c r="CR16" i="1"/>
  <c r="CR17" i="1" s="1"/>
  <c r="CR14" i="1"/>
  <c r="CR15" i="1" s="1"/>
  <c r="CS7" i="1"/>
  <c r="CM9" i="1"/>
  <c r="CO9" i="1"/>
  <c r="CO10" i="1"/>
  <c r="CO7" i="1"/>
  <c r="CD6" i="1"/>
  <c r="CD13" i="1" s="1"/>
  <c r="AW6" i="1"/>
  <c r="AW7" i="1" s="1"/>
  <c r="CB10" i="1"/>
  <c r="CB11" i="1" s="1"/>
  <c r="CB12" i="1" s="1"/>
  <c r="CG9" i="1"/>
  <c r="CG10" i="1" s="1"/>
  <c r="CG12" i="1" s="1"/>
  <c r="CG13" i="1" s="1"/>
  <c r="CG15" i="1" s="1"/>
  <c r="CG16" i="1" s="1"/>
  <c r="BY9" i="1"/>
  <c r="BY10" i="1" s="1"/>
  <c r="BY12" i="1" s="1"/>
  <c r="BY13" i="1" s="1"/>
  <c r="BY15" i="1" s="1"/>
  <c r="BY16" i="1" s="1"/>
  <c r="BJ8" i="1"/>
  <c r="BX6" i="1"/>
  <c r="BX13" i="1" s="1"/>
  <c r="BX14" i="1" s="1"/>
  <c r="BX15" i="1" s="1"/>
  <c r="BV10" i="1"/>
  <c r="BV11" i="1" s="1"/>
  <c r="BV12" i="1" s="1"/>
  <c r="BW9" i="1"/>
  <c r="BW10" i="1" s="1"/>
  <c r="BW12" i="1" s="1"/>
  <c r="BW13" i="1" s="1"/>
  <c r="BW15" i="1" s="1"/>
  <c r="BW16" i="1" s="1"/>
  <c r="CA9" i="1"/>
  <c r="CA10" i="1" s="1"/>
  <c r="CA12" i="1" s="1"/>
  <c r="CA13" i="1" s="1"/>
  <c r="CA15" i="1" s="1"/>
  <c r="CA16" i="1" s="1"/>
  <c r="CA14" i="1"/>
  <c r="BY8" i="1"/>
  <c r="BH7" i="1"/>
  <c r="BN6" i="1" s="1"/>
  <c r="AM9" i="1"/>
  <c r="AM10" i="1" s="1"/>
  <c r="AM12" i="1" s="1"/>
  <c r="AM13" i="1" s="1"/>
  <c r="AM15" i="1" s="1"/>
  <c r="AM16" i="1" s="1"/>
  <c r="AI10" i="1"/>
  <c r="AI7" i="1"/>
  <c r="AH6" i="1"/>
  <c r="AD8" i="1"/>
  <c r="AT8" i="1"/>
  <c r="AT9" i="1" s="1"/>
  <c r="AR10" i="1"/>
  <c r="AR11" i="1" s="1"/>
  <c r="AR12" i="1" s="1"/>
  <c r="AW11" i="1"/>
  <c r="AW14" i="1" s="1"/>
  <c r="AQ6" i="1"/>
  <c r="AQ7" i="1" s="1"/>
  <c r="AQ11" i="1"/>
  <c r="AQ14" i="1" s="1"/>
  <c r="AO7" i="1"/>
  <c r="AO8" i="1" s="1"/>
  <c r="AN8" i="1"/>
  <c r="AN9" i="1" s="1"/>
  <c r="AL10" i="1"/>
  <c r="AL11" i="1" s="1"/>
  <c r="AL12" i="1" s="1"/>
  <c r="AG7" i="1"/>
  <c r="AG10" i="1"/>
  <c r="AU9" i="1"/>
  <c r="AU10" i="1" s="1"/>
  <c r="AU12" i="1" s="1"/>
  <c r="AU13" i="1" s="1"/>
  <c r="AU15" i="1" s="1"/>
  <c r="AU16" i="1" s="1"/>
  <c r="AU8" i="1"/>
  <c r="AN7" i="1"/>
  <c r="AN16" i="1"/>
  <c r="AT7" i="1"/>
  <c r="AT16" i="1"/>
  <c r="AN14" i="1"/>
  <c r="AN15" i="1" s="1"/>
  <c r="AF7" i="1"/>
  <c r="BT10" i="1"/>
  <c r="BT11" i="1" s="1"/>
  <c r="BT12" i="1" s="1"/>
  <c r="BU9" i="1"/>
  <c r="BU10" i="1" s="1"/>
  <c r="BU11" i="1" s="1"/>
  <c r="BU12" i="1" s="1"/>
  <c r="BH10" i="1"/>
  <c r="BH9" i="1"/>
  <c r="AB9" i="1"/>
  <c r="AB10" i="1"/>
  <c r="CS8" i="1" l="1"/>
  <c r="CS9" i="1" s="1"/>
  <c r="CS13" i="1"/>
  <c r="CS14" i="1" s="1"/>
  <c r="CF6" i="1"/>
  <c r="CF13" i="1" s="1"/>
  <c r="CD8" i="1"/>
  <c r="CD9" i="1" s="1"/>
  <c r="CD14" i="1"/>
  <c r="CD15" i="1" s="1"/>
  <c r="CD16" i="1"/>
  <c r="CD7" i="1"/>
  <c r="BN7" i="1"/>
  <c r="BZ8" i="1" s="1"/>
  <c r="BZ6" i="1"/>
  <c r="BZ7" i="1" s="1"/>
  <c r="BX7" i="1"/>
  <c r="BX16" i="1"/>
  <c r="BX8" i="1"/>
  <c r="BX9" i="1" s="1"/>
  <c r="BX10" i="1" s="1"/>
  <c r="BX11" i="1" s="1"/>
  <c r="BX12" i="1" s="1"/>
  <c r="CA8" i="1"/>
  <c r="AV6" i="1"/>
  <c r="AV13" i="1" s="1"/>
  <c r="AV14" i="1" s="1"/>
  <c r="AV15" i="1" s="1"/>
  <c r="AP6" i="1"/>
  <c r="AP13" i="1" s="1"/>
  <c r="AP14" i="1" s="1"/>
  <c r="AP15" i="1" s="1"/>
  <c r="AH7" i="1"/>
  <c r="AH8" i="1" s="1"/>
  <c r="AH9" i="1"/>
  <c r="AH10" i="1" s="1"/>
  <c r="AT10" i="1"/>
  <c r="AT11" i="1" s="1"/>
  <c r="AT12" i="1" s="1"/>
  <c r="AN10" i="1"/>
  <c r="AN11" i="1" s="1"/>
  <c r="AN12" i="1" s="1"/>
  <c r="AW9" i="1"/>
  <c r="AW10" i="1" s="1"/>
  <c r="AW12" i="1" s="1"/>
  <c r="AW13" i="1" s="1"/>
  <c r="AW15" i="1" s="1"/>
  <c r="AW16" i="1" s="1"/>
  <c r="AQ9" i="1"/>
  <c r="AQ10" i="1" s="1"/>
  <c r="AQ12" i="1" s="1"/>
  <c r="AQ13" i="1" s="1"/>
  <c r="AQ15" i="1" s="1"/>
  <c r="AQ16" i="1" s="1"/>
  <c r="AW8" i="1"/>
  <c r="AQ8" i="1"/>
  <c r="BU13" i="1"/>
  <c r="BU14" i="1" s="1"/>
  <c r="BU15" i="1" s="1"/>
  <c r="BT13" i="1"/>
  <c r="BT14" i="1" s="1"/>
  <c r="BT15" i="1" s="1"/>
  <c r="BT8" i="1"/>
  <c r="BH8" i="1"/>
  <c r="AB8" i="1"/>
  <c r="CS15" i="1" l="1"/>
  <c r="CS16" i="1" s="1"/>
  <c r="CS10" i="1"/>
  <c r="CF8" i="1"/>
  <c r="CF9" i="1" s="1"/>
  <c r="CD10" i="1"/>
  <c r="CD11" i="1" s="1"/>
  <c r="CD12" i="1" s="1"/>
  <c r="CF14" i="1"/>
  <c r="CF15" i="1" s="1"/>
  <c r="CF16" i="1"/>
  <c r="CF7" i="1"/>
  <c r="BZ13" i="1"/>
  <c r="BZ14" i="1" s="1"/>
  <c r="BZ15" i="1" s="1"/>
  <c r="BZ16" i="1"/>
  <c r="BZ9" i="1"/>
  <c r="AV8" i="1"/>
  <c r="AV9" i="1" s="1"/>
  <c r="AV10" i="1" s="1"/>
  <c r="AV11" i="1" s="1"/>
  <c r="AV12" i="1" s="1"/>
  <c r="AV7" i="1"/>
  <c r="AV16" i="1"/>
  <c r="AP8" i="1"/>
  <c r="AP9" i="1" s="1"/>
  <c r="AP10" i="1" s="1"/>
  <c r="AP11" i="1" s="1"/>
  <c r="AP12" i="1" s="1"/>
  <c r="AP7" i="1"/>
  <c r="AP16" i="1"/>
  <c r="BN10" i="1"/>
  <c r="BN8" i="1"/>
  <c r="BN9" i="1"/>
  <c r="AF8" i="1"/>
  <c r="AF10" i="1"/>
  <c r="AF9" i="1"/>
  <c r="CF10" i="1" l="1"/>
  <c r="CF11" i="1" s="1"/>
  <c r="CF12" i="1" s="1"/>
  <c r="BZ10" i="1"/>
  <c r="BZ11" i="1" s="1"/>
  <c r="BZ12" i="1" s="1"/>
</calcChain>
</file>

<file path=xl/sharedStrings.xml><?xml version="1.0" encoding="utf-8"?>
<sst xmlns="http://schemas.openxmlformats.org/spreadsheetml/2006/main" count="195" uniqueCount="64">
  <si>
    <t>WIDTH</t>
  </si>
  <si>
    <t>HEIGHT</t>
  </si>
  <si>
    <t>ENCLOSURE CROSS-SECTIONS</t>
  </si>
  <si>
    <t>IMAGE</t>
  </si>
  <si>
    <t>PART</t>
  </si>
  <si>
    <t>DIMENSION</t>
  </si>
  <si>
    <t>WIDTH/
HEIGHT
(INNER)</t>
  </si>
  <si>
    <t>a</t>
  </si>
  <si>
    <t>b</t>
  </si>
  <si>
    <t>c</t>
  </si>
  <si>
    <t>d</t>
  </si>
  <si>
    <t>e</t>
  </si>
  <si>
    <t>-</t>
  </si>
  <si>
    <t>f</t>
  </si>
  <si>
    <t>g</t>
  </si>
  <si>
    <t>i</t>
  </si>
  <si>
    <t>WIDTH/
HEIGHT
(OUTER)</t>
  </si>
  <si>
    <t>LENGTH</t>
  </si>
  <si>
    <t>MID SUPPORT</t>
  </si>
  <si>
    <t>RATING</t>
  </si>
  <si>
    <t>AMPERE</t>
  </si>
  <si>
    <t>VOLTAGE</t>
  </si>
  <si>
    <t>COLLAR</t>
  </si>
  <si>
    <t>TYPE</t>
  </si>
  <si>
    <t>SIZE</t>
  </si>
  <si>
    <t>X</t>
  </si>
  <si>
    <t>Y</t>
  </si>
  <si>
    <t>1st COVER</t>
  </si>
  <si>
    <t>2nd COVER</t>
  </si>
  <si>
    <t>3rd COVER</t>
  </si>
  <si>
    <t>SIDE VIEW</t>
  </si>
  <si>
    <t>ORIGIN</t>
  </si>
  <si>
    <t>CO-ORDINATES   (Enclosure)</t>
  </si>
  <si>
    <t>OUTER</t>
  </si>
  <si>
    <t>THK.</t>
  </si>
  <si>
    <t>BOTTOM COVER</t>
  </si>
  <si>
    <t>TOP COVER</t>
  </si>
  <si>
    <t>TOP</t>
  </si>
  <si>
    <t>SIDE</t>
  </si>
  <si>
    <t>BOTTOM</t>
  </si>
  <si>
    <t xml:space="preserve">U.C.S
 ORIGIN </t>
  </si>
  <si>
    <t>SECTIONAL VIEW</t>
  </si>
  <si>
    <t>QTY.</t>
  </si>
  <si>
    <t>COVER / SECTION</t>
  </si>
  <si>
    <t>MATERIAL</t>
  </si>
  <si>
    <t>CRCA</t>
  </si>
  <si>
    <t>(Enclosure)</t>
  </si>
  <si>
    <t>(Side Cover)</t>
  </si>
  <si>
    <t>(Collar)</t>
  </si>
  <si>
    <t>(Top Cover)</t>
  </si>
  <si>
    <t>(Bottom Cover)</t>
  </si>
  <si>
    <t>(Side-1 Cover)</t>
  </si>
  <si>
    <t>(Side-2 Cover)</t>
  </si>
  <si>
    <t>PLAN VIEW CO-ORDINATES</t>
  </si>
  <si>
    <t>(X)</t>
  </si>
  <si>
    <t>(Y)</t>
  </si>
  <si>
    <t>(X_T)</t>
  </si>
  <si>
    <t>(Y_T)</t>
  </si>
  <si>
    <t>(X_B)</t>
  </si>
  <si>
    <t>(Y_B)</t>
  </si>
  <si>
    <t>SIDE COVER-1</t>
  </si>
  <si>
    <t>SIDE COVER-2</t>
  </si>
  <si>
    <t xml:space="preserve"> G.A. DETAILS</t>
  </si>
  <si>
    <t>INNER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</si>
</sst>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\ &quot;mm&quot;"/>
    <numFmt numFmtId="165" formatCode="0\ &quot;A&quot;"/>
    <numFmt numFmtId="166" formatCode="0\ &quot;V&quot;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6" tint="0.59999389629810485"/>
      <name val="Calibri"/>
      <family val="2"/>
      <scheme val="minor"/>
    </font>
    <font>
      <b/>
      <sz val="18"/>
      <color theme="2" tint="-9.9978637043366805E-2"/>
      <name val="Calibri"/>
      <family val="2"/>
      <scheme val="minor"/>
    </font>
    <font>
      <b/>
      <sz val="12"/>
      <color theme="2" tint="-9.9978637043366805E-2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3" borderId="1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64" fontId="5" fillId="5" borderId="18" xfId="0" applyNumberFormat="1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166" fontId="5" fillId="5" borderId="18" xfId="0" applyNumberFormat="1" applyFont="1" applyFill="1" applyBorder="1" applyAlignment="1">
      <alignment horizontal="center" vertical="center"/>
    </xf>
    <xf numFmtId="0" fontId="5" fillId="5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" fontId="1" fillId="14" borderId="18" xfId="0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1" fontId="1" fillId="0" borderId="18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0" fontId="9" fillId="16" borderId="18" xfId="0" applyFont="1" applyFill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0" xfId="0" applyBorder="1" applyAlignment="1">
      <alignment vertical="center"/>
    </xf>
    <xf numFmtId="1" fontId="1" fillId="10" borderId="18" xfId="0" applyNumberFormat="1" applyFont="1" applyFill="1" applyBorder="1" applyAlignment="1">
      <alignment horizontal="center" vertical="center"/>
    </xf>
    <xf numFmtId="1" fontId="1" fillId="11" borderId="18" xfId="0" applyNumberFormat="1" applyFont="1" applyFill="1" applyBorder="1" applyAlignment="1">
      <alignment horizontal="center" vertical="center"/>
    </xf>
    <xf numFmtId="1" fontId="1" fillId="10" borderId="20" xfId="0" applyNumberFormat="1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165" fontId="5" fillId="5" borderId="30" xfId="0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9" fillId="16" borderId="20" xfId="0" applyFont="1" applyFill="1" applyBorder="1" applyAlignment="1">
      <alignment horizontal="center" vertical="center"/>
    </xf>
    <xf numFmtId="1" fontId="1" fillId="0" borderId="20" xfId="0" applyNumberFormat="1" applyFont="1" applyBorder="1" applyAlignment="1">
      <alignment horizontal="center" vertical="center"/>
    </xf>
    <xf numFmtId="1" fontId="1" fillId="11" borderId="20" xfId="0" applyNumberFormat="1" applyFont="1" applyFill="1" applyBorder="1" applyAlignment="1">
      <alignment horizontal="center" vertical="center"/>
    </xf>
    <xf numFmtId="1" fontId="1" fillId="11" borderId="18" xfId="0" applyNumberFormat="1" applyFont="1" applyFill="1" applyBorder="1" applyAlignment="1">
      <alignment horizontal="center" vertical="center"/>
    </xf>
    <xf numFmtId="1" fontId="1" fillId="10" borderId="18" xfId="0" applyNumberFormat="1" applyFont="1" applyFill="1" applyBorder="1" applyAlignment="1">
      <alignment horizontal="center" vertical="center"/>
    </xf>
    <xf numFmtId="1" fontId="1" fillId="14" borderId="18" xfId="0" applyNumberFormat="1" applyFont="1" applyFill="1" applyBorder="1" applyAlignment="1">
      <alignment horizontal="center" vertical="center"/>
    </xf>
    <xf numFmtId="1" fontId="1" fillId="14" borderId="2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23" xfId="0" applyFont="1" applyFill="1" applyBorder="1" applyAlignment="1">
      <alignment horizontal="center" vertical="center"/>
    </xf>
    <xf numFmtId="1" fontId="1" fillId="11" borderId="20" xfId="0" applyNumberFormat="1" applyFont="1" applyFill="1" applyBorder="1" applyAlignment="1">
      <alignment horizontal="center" vertical="center" wrapText="1"/>
    </xf>
    <xf numFmtId="1" fontId="1" fillId="11" borderId="21" xfId="0" applyNumberFormat="1" applyFont="1" applyFill="1" applyBorder="1" applyAlignment="1">
      <alignment horizontal="center" vertical="center" wrapText="1"/>
    </xf>
    <xf numFmtId="1" fontId="1" fillId="10" borderId="20" xfId="0" applyNumberFormat="1" applyFont="1" applyFill="1" applyBorder="1" applyAlignment="1">
      <alignment horizontal="center" vertical="center"/>
    </xf>
    <xf numFmtId="1" fontId="1" fillId="10" borderId="21" xfId="0" applyNumberFormat="1" applyFont="1" applyFill="1" applyBorder="1" applyAlignment="1">
      <alignment horizontal="center" vertical="center"/>
    </xf>
    <xf numFmtId="1" fontId="7" fillId="13" borderId="18" xfId="0" applyNumberFormat="1" applyFont="1" applyFill="1" applyBorder="1" applyAlignment="1">
      <alignment horizontal="center" vertical="center" wrapText="1"/>
    </xf>
    <xf numFmtId="1" fontId="8" fillId="13" borderId="18" xfId="0" applyNumberFormat="1" applyFont="1" applyFill="1" applyBorder="1" applyAlignment="1">
      <alignment horizontal="center" vertical="center" wrapText="1"/>
    </xf>
    <xf numFmtId="0" fontId="8" fillId="13" borderId="18" xfId="0" applyFont="1" applyFill="1" applyBorder="1" applyAlignment="1">
      <alignment horizontal="center" vertical="center"/>
    </xf>
    <xf numFmtId="1" fontId="1" fillId="14" borderId="18" xfId="0" applyNumberFormat="1" applyFont="1" applyFill="1" applyBorder="1" applyAlignment="1">
      <alignment horizontal="center" vertical="center" wrapText="1"/>
    </xf>
    <xf numFmtId="1" fontId="1" fillId="14" borderId="18" xfId="0" applyNumberFormat="1" applyFont="1" applyFill="1" applyBorder="1" applyAlignment="1">
      <alignment horizontal="center" vertical="center"/>
    </xf>
    <xf numFmtId="1" fontId="8" fillId="9" borderId="20" xfId="0" applyNumberFormat="1" applyFont="1" applyFill="1" applyBorder="1" applyAlignment="1">
      <alignment horizontal="center" vertical="center" wrapText="1"/>
    </xf>
    <xf numFmtId="1" fontId="8" fillId="9" borderId="27" xfId="0" applyNumberFormat="1" applyFont="1" applyFill="1" applyBorder="1" applyAlignment="1">
      <alignment horizontal="center" vertical="center" wrapText="1"/>
    </xf>
    <xf numFmtId="1" fontId="8" fillId="9" borderId="21" xfId="0" applyNumberFormat="1" applyFont="1" applyFill="1" applyBorder="1" applyAlignment="1">
      <alignment horizontal="center" vertical="center" wrapText="1"/>
    </xf>
    <xf numFmtId="1" fontId="8" fillId="12" borderId="20" xfId="0" applyNumberFormat="1" applyFont="1" applyFill="1" applyBorder="1" applyAlignment="1">
      <alignment horizontal="center" vertical="center" wrapText="1"/>
    </xf>
    <xf numFmtId="1" fontId="8" fillId="12" borderId="27" xfId="0" applyNumberFormat="1" applyFont="1" applyFill="1" applyBorder="1" applyAlignment="1">
      <alignment horizontal="center" vertical="center" wrapText="1"/>
    </xf>
    <xf numFmtId="1" fontId="8" fillId="12" borderId="21" xfId="0" applyNumberFormat="1" applyFont="1" applyFill="1" applyBorder="1" applyAlignment="1">
      <alignment horizontal="center" vertical="center" wrapText="1"/>
    </xf>
    <xf numFmtId="1" fontId="7" fillId="12" borderId="20" xfId="0" applyNumberFormat="1" applyFont="1" applyFill="1" applyBorder="1" applyAlignment="1">
      <alignment horizontal="center" vertical="center" wrapText="1"/>
    </xf>
    <xf numFmtId="1" fontId="7" fillId="12" borderId="27" xfId="0" applyNumberFormat="1" applyFont="1" applyFill="1" applyBorder="1" applyAlignment="1">
      <alignment horizontal="center" vertical="center" wrapText="1"/>
    </xf>
    <xf numFmtId="1" fontId="7" fillId="12" borderId="21" xfId="0" applyNumberFormat="1" applyFont="1" applyFill="1" applyBorder="1" applyAlignment="1">
      <alignment horizontal="center" vertical="center" wrapText="1"/>
    </xf>
    <xf numFmtId="1" fontId="1" fillId="11" borderId="20" xfId="0" applyNumberFormat="1" applyFont="1" applyFill="1" applyBorder="1" applyAlignment="1">
      <alignment horizontal="center" vertical="center"/>
    </xf>
    <xf numFmtId="1" fontId="1" fillId="11" borderId="21" xfId="0" applyNumberFormat="1" applyFont="1" applyFill="1" applyBorder="1" applyAlignment="1">
      <alignment horizontal="center" vertical="center"/>
    </xf>
    <xf numFmtId="1" fontId="1" fillId="14" borderId="20" xfId="0" applyNumberFormat="1" applyFont="1" applyFill="1" applyBorder="1" applyAlignment="1">
      <alignment horizontal="center" vertical="center" wrapText="1"/>
    </xf>
    <xf numFmtId="1" fontId="1" fillId="14" borderId="21" xfId="0" applyNumberFormat="1" applyFont="1" applyFill="1" applyBorder="1" applyAlignment="1">
      <alignment horizontal="center" vertical="center" wrapText="1"/>
    </xf>
    <xf numFmtId="0" fontId="0" fillId="15" borderId="18" xfId="0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textRotation="90"/>
    </xf>
    <xf numFmtId="0" fontId="2" fillId="6" borderId="26" xfId="0" applyFont="1" applyFill="1" applyBorder="1" applyAlignment="1">
      <alignment horizontal="center" vertical="center" textRotation="90"/>
    </xf>
    <xf numFmtId="0" fontId="2" fillId="6" borderId="22" xfId="0" applyFont="1" applyFill="1" applyBorder="1" applyAlignment="1">
      <alignment horizontal="center" vertical="center" textRotation="90"/>
    </xf>
    <xf numFmtId="0" fontId="2" fillId="6" borderId="24" xfId="0" applyFont="1" applyFill="1" applyBorder="1" applyAlignment="1">
      <alignment horizontal="center" vertical="center" textRotation="90"/>
    </xf>
    <xf numFmtId="0" fontId="6" fillId="8" borderId="18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 textRotation="90"/>
    </xf>
    <xf numFmtId="1" fontId="1" fillId="11" borderId="18" xfId="0" applyNumberFormat="1" applyFont="1" applyFill="1" applyBorder="1" applyAlignment="1">
      <alignment horizontal="center" vertical="center"/>
    </xf>
    <xf numFmtId="1" fontId="7" fillId="9" borderId="20" xfId="0" applyNumberFormat="1" applyFont="1" applyFill="1" applyBorder="1" applyAlignment="1">
      <alignment horizontal="center" vertical="center" wrapText="1"/>
    </xf>
    <xf numFmtId="1" fontId="7" fillId="9" borderId="27" xfId="0" applyNumberFormat="1" applyFont="1" applyFill="1" applyBorder="1" applyAlignment="1">
      <alignment horizontal="center" vertical="center" wrapText="1"/>
    </xf>
    <xf numFmtId="1" fontId="7" fillId="9" borderId="21" xfId="0" applyNumberFormat="1" applyFont="1" applyFill="1" applyBorder="1" applyAlignment="1">
      <alignment horizontal="center" vertical="center" wrapText="1"/>
    </xf>
    <xf numFmtId="1" fontId="1" fillId="10" borderId="20" xfId="0" applyNumberFormat="1" applyFont="1" applyFill="1" applyBorder="1" applyAlignment="1">
      <alignment horizontal="center" vertical="center" wrapText="1"/>
    </xf>
    <xf numFmtId="1" fontId="1" fillId="10" borderId="21" xfId="0" applyNumberFormat="1" applyFont="1" applyFill="1" applyBorder="1" applyAlignment="1">
      <alignment horizontal="center" vertical="center" wrapText="1"/>
    </xf>
    <xf numFmtId="1" fontId="1" fillId="10" borderId="25" xfId="0" applyNumberFormat="1" applyFont="1" applyFill="1" applyBorder="1" applyAlignment="1">
      <alignment horizontal="center" vertical="center"/>
    </xf>
    <xf numFmtId="1" fontId="1" fillId="10" borderId="28" xfId="0" applyNumberFormat="1" applyFont="1" applyFill="1" applyBorder="1" applyAlignment="1">
      <alignment horizontal="center" vertical="center"/>
    </xf>
    <xf numFmtId="1" fontId="1" fillId="10" borderId="2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chemeClr val="accent5">
                  <a:shade val="4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Busduct!$AZ$6:$AZ$10</c:f>
              <c:numCache>
                <c:formatCode>0</c:formatCode>
                <c:ptCount val="5"/>
                <c:pt idx="0">
                  <c:v>0</c:v>
                </c:pt>
                <c:pt idx="1">
                  <c:v>1830</c:v>
                </c:pt>
                <c:pt idx="2">
                  <c:v>1830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Busduct!$BA$6:$BA$10</c:f>
              <c:numCache>
                <c:formatCode>0</c:formatCode>
                <c:ptCount val="5"/>
                <c:pt idx="0">
                  <c:v>-1000</c:v>
                </c:pt>
                <c:pt idx="1">
                  <c:v>-1000</c:v>
                </c:pt>
                <c:pt idx="2">
                  <c:v>-500</c:v>
                </c:pt>
                <c:pt idx="3">
                  <c:v>-500</c:v>
                </c:pt>
                <c:pt idx="4">
                  <c:v>-1000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95-4C01-B551-65A662E706D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5">
                  <a:shade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Busduct!$BB$6:$BB$10</c:f>
              <c:numCache>
                <c:formatCode>0</c:formatCode>
                <c:ptCount val="5"/>
                <c:pt idx="0">
                  <c:v>30</c:v>
                </c:pt>
                <c:pt idx="1">
                  <c:v>580</c:v>
                </c:pt>
                <c:pt idx="2">
                  <c:v>580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Busduct!$BC$6:$BC$10</c:f>
              <c:numCache>
                <c:formatCode>0</c:formatCode>
                <c:ptCount val="5"/>
                <c:pt idx="0">
                  <c:v>-970</c:v>
                </c:pt>
                <c:pt idx="1">
                  <c:v>-970</c:v>
                </c:pt>
                <c:pt idx="2">
                  <c:v>-530</c:v>
                </c:pt>
                <c:pt idx="3">
                  <c:v>-530</c:v>
                </c:pt>
                <c:pt idx="4">
                  <c:v>-970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5-4C01-B551-65A662E706D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Busduct!$BH$6:$BH$10</c:f>
              <c:numCache>
                <c:formatCode>0</c:formatCode>
                <c:ptCount val="5"/>
                <c:pt idx="0">
                  <c:v>640</c:v>
                </c:pt>
                <c:pt idx="1">
                  <c:v>1190</c:v>
                </c:pt>
                <c:pt idx="2">
                  <c:v>1190</c:v>
                </c:pt>
                <c:pt idx="3">
                  <c:v>640</c:v>
                </c:pt>
                <c:pt idx="4">
                  <c:v>640</c:v>
                </c:pt>
              </c:numCache>
            </c:numRef>
          </c:xVal>
          <c:yVal>
            <c:numRef>
              <c:f>Busduct!$BI$6:$BI$10</c:f>
              <c:numCache>
                <c:formatCode>0</c:formatCode>
                <c:ptCount val="5"/>
                <c:pt idx="0">
                  <c:v>-970</c:v>
                </c:pt>
                <c:pt idx="1">
                  <c:v>-970</c:v>
                </c:pt>
                <c:pt idx="2">
                  <c:v>-530</c:v>
                </c:pt>
                <c:pt idx="3">
                  <c:v>-530</c:v>
                </c:pt>
                <c:pt idx="4">
                  <c:v>-970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95-4C01-B551-65A662E706D5}"/>
            </c:ext>
          </c:extLst>
        </c:ser>
        <c:ser>
          <c:idx val="3"/>
          <c:order val="3"/>
          <c:spPr>
            <a:ln w="28575" cap="rnd" cmpd="sng" algn="ctr">
              <a:solidFill>
                <a:schemeClr val="accent5">
                  <a:shade val="7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Busduct!$BN$6:$BN$10</c:f>
              <c:numCache>
                <c:formatCode>0</c:formatCode>
                <c:ptCount val="5"/>
                <c:pt idx="0">
                  <c:v>1250</c:v>
                </c:pt>
                <c:pt idx="1">
                  <c:v>1800</c:v>
                </c:pt>
                <c:pt idx="2">
                  <c:v>1800</c:v>
                </c:pt>
                <c:pt idx="3">
                  <c:v>1250</c:v>
                </c:pt>
                <c:pt idx="4">
                  <c:v>1250</c:v>
                </c:pt>
              </c:numCache>
            </c:numRef>
          </c:xVal>
          <c:yVal>
            <c:numRef>
              <c:f>Busduct!$BO$6:$BO$10</c:f>
              <c:numCache>
                <c:formatCode>0</c:formatCode>
                <c:ptCount val="5"/>
                <c:pt idx="0">
                  <c:v>-970</c:v>
                </c:pt>
                <c:pt idx="1">
                  <c:v>-970</c:v>
                </c:pt>
                <c:pt idx="2">
                  <c:v>-530</c:v>
                </c:pt>
                <c:pt idx="3">
                  <c:v>-530</c:v>
                </c:pt>
                <c:pt idx="4">
                  <c:v>-970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95-4C01-B551-65A662E706D5}"/>
            </c:ext>
          </c:extLst>
        </c:ser>
        <c:ser>
          <c:idx val="4"/>
          <c:order val="4"/>
          <c:spPr>
            <a:ln w="28575" cap="rnd" cmpd="sng" algn="ctr">
              <a:solidFill>
                <a:schemeClr val="accent5">
                  <a:shade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Busduct!$V$6:$V$10</c:f>
              <c:numCache>
                <c:formatCode>0</c:formatCode>
                <c:ptCount val="5"/>
                <c:pt idx="0">
                  <c:v>0</c:v>
                </c:pt>
                <c:pt idx="1">
                  <c:v>1830</c:v>
                </c:pt>
                <c:pt idx="2">
                  <c:v>1830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Busduct!$W$6:$W$10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1000</c:v>
                </c:pt>
                <c:pt idx="3">
                  <c:v>1000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95-4C01-B551-65A662E706D5}"/>
            </c:ext>
          </c:extLst>
        </c:ser>
        <c:ser>
          <c:idx val="5"/>
          <c:order val="5"/>
          <c:spPr>
            <a:ln w="28575" cap="rnd" cmpd="sng" algn="ctr">
              <a:solidFill>
                <a:schemeClr val="accent5">
                  <a:shade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Busduct!$X$6:$X$10</c:f>
              <c:numCache>
                <c:formatCode>0</c:formatCode>
                <c:ptCount val="5"/>
                <c:pt idx="0">
                  <c:v>30</c:v>
                </c:pt>
                <c:pt idx="1">
                  <c:v>580</c:v>
                </c:pt>
                <c:pt idx="2">
                  <c:v>580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Busduct!$Y$6:$Y$10</c:f>
              <c:numCache>
                <c:formatCode>0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970</c:v>
                </c:pt>
                <c:pt idx="3">
                  <c:v>970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895-4C01-B551-65A662E706D5}"/>
            </c:ext>
          </c:extLst>
        </c:ser>
        <c:ser>
          <c:idx val="6"/>
          <c:order val="6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Busduct!$AB$6:$AB$10</c:f>
              <c:numCache>
                <c:formatCode>0</c:formatCode>
                <c:ptCount val="5"/>
                <c:pt idx="0">
                  <c:v>640</c:v>
                </c:pt>
                <c:pt idx="1">
                  <c:v>1190</c:v>
                </c:pt>
                <c:pt idx="2">
                  <c:v>1190</c:v>
                </c:pt>
                <c:pt idx="3">
                  <c:v>640</c:v>
                </c:pt>
                <c:pt idx="4">
                  <c:v>640</c:v>
                </c:pt>
              </c:numCache>
            </c:numRef>
          </c:xVal>
          <c:yVal>
            <c:numRef>
              <c:f>Busduct!$AC$6:$AC$10</c:f>
              <c:numCache>
                <c:formatCode>0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970</c:v>
                </c:pt>
                <c:pt idx="3">
                  <c:v>970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895-4C01-B551-65A662E706D5}"/>
            </c:ext>
          </c:extLst>
        </c:ser>
        <c:ser>
          <c:idx val="7"/>
          <c:order val="7"/>
          <c:spPr>
            <a:ln w="28575" cap="rnd" cmpd="sng" algn="ctr">
              <a:solidFill>
                <a:schemeClr val="accent5">
                  <a:tint val="9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Busduct!$AF$6:$AF$10</c:f>
              <c:numCache>
                <c:formatCode>0</c:formatCode>
                <c:ptCount val="5"/>
                <c:pt idx="0">
                  <c:v>1250</c:v>
                </c:pt>
                <c:pt idx="1">
                  <c:v>1800</c:v>
                </c:pt>
                <c:pt idx="2">
                  <c:v>1800</c:v>
                </c:pt>
                <c:pt idx="3">
                  <c:v>1250</c:v>
                </c:pt>
                <c:pt idx="4">
                  <c:v>1250</c:v>
                </c:pt>
              </c:numCache>
            </c:numRef>
          </c:xVal>
          <c:yVal>
            <c:numRef>
              <c:f>Busduct!$AG$6:$AG$10</c:f>
              <c:numCache>
                <c:formatCode>0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970</c:v>
                </c:pt>
                <c:pt idx="3">
                  <c:v>970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895-4C01-B551-65A662E706D5}"/>
            </c:ext>
          </c:extLst>
        </c:ser>
        <c:ser>
          <c:idx val="8"/>
          <c:order val="8"/>
          <c:spPr>
            <a:ln w="28575" cap="rnd" cmpd="sng" algn="ctr">
              <a:solidFill>
                <a:schemeClr val="accent5">
                  <a:tint val="8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Busduct!$CJ$6:$CJ$10</c:f>
              <c:numCache>
                <c:formatCode>0</c:formatCode>
                <c:ptCount val="5"/>
                <c:pt idx="0">
                  <c:v>2130</c:v>
                </c:pt>
                <c:pt idx="1">
                  <c:v>3130</c:v>
                </c:pt>
                <c:pt idx="2">
                  <c:v>3130</c:v>
                </c:pt>
                <c:pt idx="3">
                  <c:v>2130</c:v>
                </c:pt>
                <c:pt idx="4">
                  <c:v>2130</c:v>
                </c:pt>
              </c:numCache>
            </c:numRef>
          </c:xVal>
          <c:yVal>
            <c:numRef>
              <c:f>Busduct!$CK$6:$CK$10</c:f>
              <c:numCache>
                <c:formatCode>0</c:formatCode>
                <c:ptCount val="5"/>
                <c:pt idx="0">
                  <c:v>-1000</c:v>
                </c:pt>
                <c:pt idx="1">
                  <c:v>-1000</c:v>
                </c:pt>
                <c:pt idx="2">
                  <c:v>-500</c:v>
                </c:pt>
                <c:pt idx="3">
                  <c:v>-500</c:v>
                </c:pt>
                <c:pt idx="4">
                  <c:v>-1000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895-4C01-B551-65A662E706D5}"/>
            </c:ext>
          </c:extLst>
        </c:ser>
        <c:ser>
          <c:idx val="9"/>
          <c:order val="9"/>
          <c:spPr>
            <a:ln w="28575" cap="rnd" cmpd="sng" algn="ctr">
              <a:solidFill>
                <a:schemeClr val="accent5">
                  <a:tint val="7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Busduct!$CL$6:$CL$10</c:f>
              <c:numCache>
                <c:formatCode>0</c:formatCode>
                <c:ptCount val="5"/>
                <c:pt idx="0">
                  <c:v>2180</c:v>
                </c:pt>
                <c:pt idx="1">
                  <c:v>3080</c:v>
                </c:pt>
                <c:pt idx="2">
                  <c:v>3080</c:v>
                </c:pt>
                <c:pt idx="3">
                  <c:v>2180</c:v>
                </c:pt>
                <c:pt idx="4">
                  <c:v>2180</c:v>
                </c:pt>
              </c:numCache>
            </c:numRef>
          </c:xVal>
          <c:yVal>
            <c:numRef>
              <c:f>Busduct!$CM$6:$CM$10</c:f>
              <c:numCache>
                <c:formatCode>0</c:formatCode>
                <c:ptCount val="5"/>
                <c:pt idx="0">
                  <c:v>-950</c:v>
                </c:pt>
                <c:pt idx="1">
                  <c:v>-950</c:v>
                </c:pt>
                <c:pt idx="2">
                  <c:v>-550</c:v>
                </c:pt>
                <c:pt idx="3">
                  <c:v>-550</c:v>
                </c:pt>
                <c:pt idx="4">
                  <c:v>-950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895-4C01-B551-65A662E706D5}"/>
            </c:ext>
          </c:extLst>
        </c:ser>
        <c:ser>
          <c:idx val="10"/>
          <c:order val="10"/>
          <c:spPr>
            <a:ln w="28575" cap="rnd" cmpd="sng" algn="ctr">
              <a:solidFill>
                <a:schemeClr val="accent5">
                  <a:tint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Busduct!$CR$6:$CR$20</c:f>
              <c:numCache>
                <c:formatCode>General</c:formatCode>
                <c:ptCount val="15"/>
                <c:pt idx="0">
                  <c:v>2177</c:v>
                </c:pt>
                <c:pt idx="1">
                  <c:v>2177</c:v>
                </c:pt>
                <c:pt idx="2" formatCode="0">
                  <c:v>2154</c:v>
                </c:pt>
                <c:pt idx="3" formatCode="0">
                  <c:v>2154</c:v>
                </c:pt>
                <c:pt idx="4" formatCode="0">
                  <c:v>2180</c:v>
                </c:pt>
                <c:pt idx="5" formatCode="0">
                  <c:v>2180</c:v>
                </c:pt>
                <c:pt idx="6">
                  <c:v>3083</c:v>
                </c:pt>
                <c:pt idx="7">
                  <c:v>3083</c:v>
                </c:pt>
                <c:pt idx="8">
                  <c:v>3100</c:v>
                </c:pt>
                <c:pt idx="9">
                  <c:v>3100</c:v>
                </c:pt>
                <c:pt idx="10">
                  <c:v>3080</c:v>
                </c:pt>
                <c:pt idx="11">
                  <c:v>3080</c:v>
                </c:pt>
              </c:numCache>
            </c:numRef>
          </c:xVal>
          <c:yVal>
            <c:numRef>
              <c:f>Busduct!$CS$6:$CS$20</c:f>
              <c:numCache>
                <c:formatCode>0</c:formatCode>
                <c:ptCount val="15"/>
                <c:pt idx="0">
                  <c:v>-500</c:v>
                </c:pt>
                <c:pt idx="1">
                  <c:v>-478</c:v>
                </c:pt>
                <c:pt idx="2">
                  <c:v>-478</c:v>
                </c:pt>
                <c:pt idx="3">
                  <c:v>-475</c:v>
                </c:pt>
                <c:pt idx="4">
                  <c:v>-475</c:v>
                </c:pt>
                <c:pt idx="5">
                  <c:v>-500</c:v>
                </c:pt>
                <c:pt idx="6">
                  <c:v>-500</c:v>
                </c:pt>
                <c:pt idx="7">
                  <c:v>-478</c:v>
                </c:pt>
                <c:pt idx="8">
                  <c:v>-478</c:v>
                </c:pt>
                <c:pt idx="9">
                  <c:v>-475</c:v>
                </c:pt>
                <c:pt idx="10">
                  <c:v>-475</c:v>
                </c:pt>
                <c:pt idx="11">
                  <c:v>-500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895-4C01-B551-65A662E706D5}"/>
            </c:ext>
          </c:extLst>
        </c:ser>
        <c:ser>
          <c:idx val="11"/>
          <c:order val="11"/>
          <c:spPr>
            <a:ln w="28575" cap="rnd" cmpd="sng" algn="ctr">
              <a:solidFill>
                <a:schemeClr val="accent5">
                  <a:tint val="5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Busduct!$AJ$6:$AJ$15</c:f>
            </c:numRef>
          </c:xVal>
          <c:yVal>
            <c:numRef>
              <c:f>Busduct!$AK$6:$AK$15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895-4C01-B551-65A662E706D5}"/>
            </c:ext>
          </c:extLst>
        </c:ser>
        <c:ser>
          <c:idx val="12"/>
          <c:order val="12"/>
          <c:spPr>
            <a:ln w="28575" cap="rnd" cmpd="sng" algn="ctr">
              <a:solidFill>
                <a:schemeClr val="accent5">
                  <a:tint val="4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Busduct!$BT$6:$BT$15</c:f>
            </c:numRef>
          </c:xVal>
          <c:yVal>
            <c:numRef>
              <c:f>Busduct!$BU$6:$BU$15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895-4C01-B551-65A662E706D5}"/>
            </c:ext>
          </c:extLst>
        </c:ser>
        <c:ser>
          <c:idx val="13"/>
          <c:order val="13"/>
          <c:marker>
            <c:symbol val="none"/>
          </c:marker>
          <c:xVal>
            <c:numRef>
              <c:f>Busduct!$AL$6:$AL$23</c:f>
              <c:numCache>
                <c:formatCode>0</c:formatCode>
                <c:ptCount val="18"/>
                <c:pt idx="0">
                  <c:v>30</c:v>
                </c:pt>
                <c:pt idx="1">
                  <c:v>30</c:v>
                </c:pt>
                <c:pt idx="2">
                  <c:v>580</c:v>
                </c:pt>
                <c:pt idx="3">
                  <c:v>580</c:v>
                </c:pt>
                <c:pt idx="4">
                  <c:v>560</c:v>
                </c:pt>
                <c:pt idx="5">
                  <c:v>560</c:v>
                </c:pt>
                <c:pt idx="6">
                  <c:v>560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30</c:v>
                </c:pt>
              </c:numCache>
            </c:numRef>
          </c:xVal>
          <c:yVal>
            <c:numRef>
              <c:f>Busduct!$AM$6:$AM$21</c:f>
              <c:numCache>
                <c:formatCode>0</c:formatCode>
                <c:ptCount val="16"/>
                <c:pt idx="0">
                  <c:v>1005</c:v>
                </c:pt>
                <c:pt idx="1">
                  <c:v>1025</c:v>
                </c:pt>
                <c:pt idx="2">
                  <c:v>1025</c:v>
                </c:pt>
                <c:pt idx="3">
                  <c:v>1005</c:v>
                </c:pt>
                <c:pt idx="4">
                  <c:v>1005</c:v>
                </c:pt>
                <c:pt idx="5" formatCode="General">
                  <c:v>1000</c:v>
                </c:pt>
                <c:pt idx="6">
                  <c:v>1005</c:v>
                </c:pt>
                <c:pt idx="7">
                  <c:v>1005</c:v>
                </c:pt>
                <c:pt idx="8" formatCode="General">
                  <c:v>1000</c:v>
                </c:pt>
                <c:pt idx="9">
                  <c:v>1005</c:v>
                </c:pt>
                <c:pt idx="10">
                  <c:v>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895-4C01-B551-65A662E706D5}"/>
            </c:ext>
          </c:extLst>
        </c:ser>
        <c:ser>
          <c:idx val="14"/>
          <c:order val="14"/>
          <c:marker>
            <c:symbol val="none"/>
          </c:marker>
          <c:xVal>
            <c:numRef>
              <c:f>Busduct!$AP$6:$AP$21</c:f>
              <c:numCache>
                <c:formatCode>0</c:formatCode>
                <c:ptCount val="16"/>
                <c:pt idx="0">
                  <c:v>1250</c:v>
                </c:pt>
                <c:pt idx="1">
                  <c:v>1250</c:v>
                </c:pt>
                <c:pt idx="2">
                  <c:v>1800</c:v>
                </c:pt>
                <c:pt idx="3">
                  <c:v>1800</c:v>
                </c:pt>
                <c:pt idx="4">
                  <c:v>1780</c:v>
                </c:pt>
                <c:pt idx="5">
                  <c:v>1780</c:v>
                </c:pt>
                <c:pt idx="6">
                  <c:v>1780</c:v>
                </c:pt>
                <c:pt idx="7">
                  <c:v>1270</c:v>
                </c:pt>
                <c:pt idx="8">
                  <c:v>1270</c:v>
                </c:pt>
                <c:pt idx="9">
                  <c:v>1270</c:v>
                </c:pt>
                <c:pt idx="10">
                  <c:v>1250</c:v>
                </c:pt>
              </c:numCache>
            </c:numRef>
          </c:xVal>
          <c:yVal>
            <c:numRef>
              <c:f>Busduct!$AQ$6:$AQ$22</c:f>
              <c:numCache>
                <c:formatCode>0</c:formatCode>
                <c:ptCount val="17"/>
                <c:pt idx="0">
                  <c:v>1005</c:v>
                </c:pt>
                <c:pt idx="1">
                  <c:v>1025</c:v>
                </c:pt>
                <c:pt idx="2">
                  <c:v>1025</c:v>
                </c:pt>
                <c:pt idx="3">
                  <c:v>1005</c:v>
                </c:pt>
                <c:pt idx="4">
                  <c:v>1005</c:v>
                </c:pt>
                <c:pt idx="5" formatCode="General">
                  <c:v>1000</c:v>
                </c:pt>
                <c:pt idx="6">
                  <c:v>1005</c:v>
                </c:pt>
                <c:pt idx="7">
                  <c:v>1005</c:v>
                </c:pt>
                <c:pt idx="8" formatCode="General">
                  <c:v>1000</c:v>
                </c:pt>
                <c:pt idx="9">
                  <c:v>1005</c:v>
                </c:pt>
                <c:pt idx="10">
                  <c:v>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895-4C01-B551-65A662E706D5}"/>
            </c:ext>
          </c:extLst>
        </c:ser>
        <c:ser>
          <c:idx val="15"/>
          <c:order val="15"/>
          <c:marker>
            <c:symbol val="none"/>
          </c:marker>
          <c:xVal>
            <c:numRef>
              <c:f>Busduct!$AN$6:$AN$16</c:f>
              <c:numCache>
                <c:formatCode>0</c:formatCode>
                <c:ptCount val="11"/>
                <c:pt idx="0">
                  <c:v>640</c:v>
                </c:pt>
                <c:pt idx="1">
                  <c:v>640</c:v>
                </c:pt>
                <c:pt idx="2">
                  <c:v>1190</c:v>
                </c:pt>
                <c:pt idx="3">
                  <c:v>1190</c:v>
                </c:pt>
                <c:pt idx="4">
                  <c:v>1170</c:v>
                </c:pt>
                <c:pt idx="5">
                  <c:v>1170</c:v>
                </c:pt>
                <c:pt idx="6">
                  <c:v>1170</c:v>
                </c:pt>
                <c:pt idx="7">
                  <c:v>660</c:v>
                </c:pt>
                <c:pt idx="8">
                  <c:v>660</c:v>
                </c:pt>
                <c:pt idx="9">
                  <c:v>660</c:v>
                </c:pt>
                <c:pt idx="10">
                  <c:v>640</c:v>
                </c:pt>
              </c:numCache>
            </c:numRef>
          </c:xVal>
          <c:yVal>
            <c:numRef>
              <c:f>Busduct!$AO$6:$AO$16</c:f>
              <c:numCache>
                <c:formatCode>0</c:formatCode>
                <c:ptCount val="11"/>
                <c:pt idx="0">
                  <c:v>1005</c:v>
                </c:pt>
                <c:pt idx="1">
                  <c:v>1025</c:v>
                </c:pt>
                <c:pt idx="2">
                  <c:v>1025</c:v>
                </c:pt>
                <c:pt idx="3">
                  <c:v>1005</c:v>
                </c:pt>
                <c:pt idx="4">
                  <c:v>1005</c:v>
                </c:pt>
                <c:pt idx="5" formatCode="General">
                  <c:v>1000</c:v>
                </c:pt>
                <c:pt idx="6">
                  <c:v>1005</c:v>
                </c:pt>
                <c:pt idx="7">
                  <c:v>1005</c:v>
                </c:pt>
                <c:pt idx="8" formatCode="General">
                  <c:v>1000</c:v>
                </c:pt>
                <c:pt idx="9">
                  <c:v>1005</c:v>
                </c:pt>
                <c:pt idx="10">
                  <c:v>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895-4C01-B551-65A662E706D5}"/>
            </c:ext>
          </c:extLst>
        </c:ser>
        <c:ser>
          <c:idx val="16"/>
          <c:order val="16"/>
          <c:marker>
            <c:symbol val="none"/>
          </c:marker>
          <c:xVal>
            <c:numRef>
              <c:f>Busduct!$AR$6:$AR$16</c:f>
              <c:numCache>
                <c:formatCode>0</c:formatCode>
                <c:ptCount val="11"/>
                <c:pt idx="0">
                  <c:v>30</c:v>
                </c:pt>
                <c:pt idx="1">
                  <c:v>30</c:v>
                </c:pt>
                <c:pt idx="2">
                  <c:v>580</c:v>
                </c:pt>
                <c:pt idx="3">
                  <c:v>580</c:v>
                </c:pt>
                <c:pt idx="4">
                  <c:v>560</c:v>
                </c:pt>
                <c:pt idx="5">
                  <c:v>560</c:v>
                </c:pt>
                <c:pt idx="6">
                  <c:v>560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30</c:v>
                </c:pt>
              </c:numCache>
            </c:numRef>
          </c:xVal>
          <c:yVal>
            <c:numRef>
              <c:f>Busduct!$AS$6:$AS$16</c:f>
              <c:numCache>
                <c:formatCode>0</c:formatCode>
                <c:ptCount val="11"/>
                <c:pt idx="0">
                  <c:v>-5</c:v>
                </c:pt>
                <c:pt idx="1">
                  <c:v>-25</c:v>
                </c:pt>
                <c:pt idx="2">
                  <c:v>-25</c:v>
                </c:pt>
                <c:pt idx="3">
                  <c:v>-5</c:v>
                </c:pt>
                <c:pt idx="4">
                  <c:v>-5</c:v>
                </c:pt>
                <c:pt idx="5" formatCode="General">
                  <c:v>0</c:v>
                </c:pt>
                <c:pt idx="6">
                  <c:v>-5</c:v>
                </c:pt>
                <c:pt idx="7">
                  <c:v>-5</c:v>
                </c:pt>
                <c:pt idx="8" formatCode="General">
                  <c:v>0</c:v>
                </c:pt>
                <c:pt idx="9">
                  <c:v>-5</c:v>
                </c:pt>
                <c:pt idx="1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895-4C01-B551-65A662E706D5}"/>
            </c:ext>
          </c:extLst>
        </c:ser>
        <c:ser>
          <c:idx val="17"/>
          <c:order val="17"/>
          <c:marker>
            <c:symbol val="none"/>
          </c:marker>
          <c:xVal>
            <c:numRef>
              <c:f>Busduct!$AT$6:$AT$16</c:f>
              <c:numCache>
                <c:formatCode>0</c:formatCode>
                <c:ptCount val="11"/>
                <c:pt idx="0">
                  <c:v>640</c:v>
                </c:pt>
                <c:pt idx="1">
                  <c:v>640</c:v>
                </c:pt>
                <c:pt idx="2">
                  <c:v>1190</c:v>
                </c:pt>
                <c:pt idx="3">
                  <c:v>1190</c:v>
                </c:pt>
                <c:pt idx="4">
                  <c:v>1170</c:v>
                </c:pt>
                <c:pt idx="5">
                  <c:v>1170</c:v>
                </c:pt>
                <c:pt idx="6">
                  <c:v>1170</c:v>
                </c:pt>
                <c:pt idx="7">
                  <c:v>660</c:v>
                </c:pt>
                <c:pt idx="8">
                  <c:v>660</c:v>
                </c:pt>
                <c:pt idx="9">
                  <c:v>660</c:v>
                </c:pt>
                <c:pt idx="10">
                  <c:v>640</c:v>
                </c:pt>
              </c:numCache>
            </c:numRef>
          </c:xVal>
          <c:yVal>
            <c:numRef>
              <c:f>Busduct!$AU$6:$AU$16</c:f>
              <c:numCache>
                <c:formatCode>0</c:formatCode>
                <c:ptCount val="11"/>
                <c:pt idx="0">
                  <c:v>-5</c:v>
                </c:pt>
                <c:pt idx="1">
                  <c:v>-25</c:v>
                </c:pt>
                <c:pt idx="2">
                  <c:v>-25</c:v>
                </c:pt>
                <c:pt idx="3">
                  <c:v>-5</c:v>
                </c:pt>
                <c:pt idx="4">
                  <c:v>-5</c:v>
                </c:pt>
                <c:pt idx="5" formatCode="General">
                  <c:v>0</c:v>
                </c:pt>
                <c:pt idx="6">
                  <c:v>-5</c:v>
                </c:pt>
                <c:pt idx="7">
                  <c:v>-5</c:v>
                </c:pt>
                <c:pt idx="8" formatCode="General">
                  <c:v>0</c:v>
                </c:pt>
                <c:pt idx="9">
                  <c:v>-5</c:v>
                </c:pt>
                <c:pt idx="1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895-4C01-B551-65A662E706D5}"/>
            </c:ext>
          </c:extLst>
        </c:ser>
        <c:ser>
          <c:idx val="18"/>
          <c:order val="18"/>
          <c:marker>
            <c:symbol val="none"/>
          </c:marker>
          <c:xVal>
            <c:numRef>
              <c:f>Busduct!$AV$6:$AV$16</c:f>
              <c:numCache>
                <c:formatCode>0</c:formatCode>
                <c:ptCount val="11"/>
                <c:pt idx="0">
                  <c:v>1250</c:v>
                </c:pt>
                <c:pt idx="1">
                  <c:v>1250</c:v>
                </c:pt>
                <c:pt idx="2">
                  <c:v>1800</c:v>
                </c:pt>
                <c:pt idx="3">
                  <c:v>1800</c:v>
                </c:pt>
                <c:pt idx="4">
                  <c:v>1780</c:v>
                </c:pt>
                <c:pt idx="5">
                  <c:v>1780</c:v>
                </c:pt>
                <c:pt idx="6">
                  <c:v>1780</c:v>
                </c:pt>
                <c:pt idx="7">
                  <c:v>1270</c:v>
                </c:pt>
                <c:pt idx="8">
                  <c:v>1270</c:v>
                </c:pt>
                <c:pt idx="9">
                  <c:v>1270</c:v>
                </c:pt>
                <c:pt idx="10">
                  <c:v>1250</c:v>
                </c:pt>
              </c:numCache>
            </c:numRef>
          </c:xVal>
          <c:yVal>
            <c:numRef>
              <c:f>Busduct!$AW$6:$AW$16</c:f>
              <c:numCache>
                <c:formatCode>0</c:formatCode>
                <c:ptCount val="11"/>
                <c:pt idx="0">
                  <c:v>-5</c:v>
                </c:pt>
                <c:pt idx="1">
                  <c:v>-25</c:v>
                </c:pt>
                <c:pt idx="2">
                  <c:v>-25</c:v>
                </c:pt>
                <c:pt idx="3">
                  <c:v>-5</c:v>
                </c:pt>
                <c:pt idx="4">
                  <c:v>-5</c:v>
                </c:pt>
                <c:pt idx="5" formatCode="General">
                  <c:v>0</c:v>
                </c:pt>
                <c:pt idx="6">
                  <c:v>-5</c:v>
                </c:pt>
                <c:pt idx="7">
                  <c:v>-5</c:v>
                </c:pt>
                <c:pt idx="8" formatCode="General">
                  <c:v>0</c:v>
                </c:pt>
                <c:pt idx="9">
                  <c:v>-5</c:v>
                </c:pt>
                <c:pt idx="10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895-4C01-B551-65A662E706D5}"/>
            </c:ext>
          </c:extLst>
        </c:ser>
        <c:ser>
          <c:idx val="19"/>
          <c:order val="19"/>
          <c:marker>
            <c:symbol val="none"/>
          </c:marker>
          <c:xVal>
            <c:numRef>
              <c:f>Busduct!$BV$6:$BV$16</c:f>
              <c:numCache>
                <c:formatCode>0</c:formatCode>
                <c:ptCount val="11"/>
                <c:pt idx="0">
                  <c:v>30</c:v>
                </c:pt>
                <c:pt idx="1">
                  <c:v>30</c:v>
                </c:pt>
                <c:pt idx="2">
                  <c:v>580</c:v>
                </c:pt>
                <c:pt idx="3">
                  <c:v>580</c:v>
                </c:pt>
                <c:pt idx="4">
                  <c:v>560</c:v>
                </c:pt>
                <c:pt idx="5">
                  <c:v>560</c:v>
                </c:pt>
                <c:pt idx="6">
                  <c:v>560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30</c:v>
                </c:pt>
              </c:numCache>
            </c:numRef>
          </c:xVal>
          <c:yVal>
            <c:numRef>
              <c:f>Busduct!$BW$6:$BW$16</c:f>
              <c:numCache>
                <c:formatCode>0</c:formatCode>
                <c:ptCount val="11"/>
                <c:pt idx="0">
                  <c:v>-495</c:v>
                </c:pt>
                <c:pt idx="1">
                  <c:v>-475</c:v>
                </c:pt>
                <c:pt idx="2">
                  <c:v>-475</c:v>
                </c:pt>
                <c:pt idx="3">
                  <c:v>-495</c:v>
                </c:pt>
                <c:pt idx="4">
                  <c:v>-495</c:v>
                </c:pt>
                <c:pt idx="5" formatCode="General">
                  <c:v>-500</c:v>
                </c:pt>
                <c:pt idx="6">
                  <c:v>-495</c:v>
                </c:pt>
                <c:pt idx="7">
                  <c:v>-495</c:v>
                </c:pt>
                <c:pt idx="8" formatCode="General">
                  <c:v>-500</c:v>
                </c:pt>
                <c:pt idx="9">
                  <c:v>-495</c:v>
                </c:pt>
                <c:pt idx="10">
                  <c:v>-495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895-4C01-B551-65A662E706D5}"/>
            </c:ext>
          </c:extLst>
        </c:ser>
        <c:ser>
          <c:idx val="20"/>
          <c:order val="20"/>
          <c:marker>
            <c:symbol val="none"/>
          </c:marker>
          <c:xVal>
            <c:numRef>
              <c:f>Busduct!$BX$6:$BX$16</c:f>
              <c:numCache>
                <c:formatCode>0</c:formatCode>
                <c:ptCount val="11"/>
                <c:pt idx="0">
                  <c:v>640</c:v>
                </c:pt>
                <c:pt idx="1">
                  <c:v>640</c:v>
                </c:pt>
                <c:pt idx="2">
                  <c:v>1190</c:v>
                </c:pt>
                <c:pt idx="3">
                  <c:v>1190</c:v>
                </c:pt>
                <c:pt idx="4">
                  <c:v>1170</c:v>
                </c:pt>
                <c:pt idx="5">
                  <c:v>1170</c:v>
                </c:pt>
                <c:pt idx="6">
                  <c:v>1170</c:v>
                </c:pt>
                <c:pt idx="7">
                  <c:v>660</c:v>
                </c:pt>
                <c:pt idx="8">
                  <c:v>660</c:v>
                </c:pt>
                <c:pt idx="9">
                  <c:v>660</c:v>
                </c:pt>
                <c:pt idx="10">
                  <c:v>640</c:v>
                </c:pt>
              </c:numCache>
            </c:numRef>
          </c:xVal>
          <c:yVal>
            <c:numRef>
              <c:f>Busduct!$BY$6:$BY$16</c:f>
              <c:numCache>
                <c:formatCode>0</c:formatCode>
                <c:ptCount val="11"/>
                <c:pt idx="0">
                  <c:v>-495</c:v>
                </c:pt>
                <c:pt idx="1">
                  <c:v>-475</c:v>
                </c:pt>
                <c:pt idx="2">
                  <c:v>-475</c:v>
                </c:pt>
                <c:pt idx="3">
                  <c:v>-495</c:v>
                </c:pt>
                <c:pt idx="4">
                  <c:v>-495</c:v>
                </c:pt>
                <c:pt idx="5" formatCode="General">
                  <c:v>-500</c:v>
                </c:pt>
                <c:pt idx="6">
                  <c:v>-495</c:v>
                </c:pt>
                <c:pt idx="7">
                  <c:v>-495</c:v>
                </c:pt>
                <c:pt idx="8" formatCode="General">
                  <c:v>-500</c:v>
                </c:pt>
                <c:pt idx="9">
                  <c:v>-495</c:v>
                </c:pt>
                <c:pt idx="10">
                  <c:v>-495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895-4C01-B551-65A662E706D5}"/>
            </c:ext>
          </c:extLst>
        </c:ser>
        <c:ser>
          <c:idx val="21"/>
          <c:order val="21"/>
          <c:marker>
            <c:symbol val="none"/>
          </c:marker>
          <c:xVal>
            <c:numRef>
              <c:f>Busduct!$BZ$6:$BZ$16</c:f>
              <c:numCache>
                <c:formatCode>0</c:formatCode>
                <c:ptCount val="11"/>
                <c:pt idx="0">
                  <c:v>1250</c:v>
                </c:pt>
                <c:pt idx="1">
                  <c:v>1250</c:v>
                </c:pt>
                <c:pt idx="2">
                  <c:v>1800</c:v>
                </c:pt>
                <c:pt idx="3">
                  <c:v>1800</c:v>
                </c:pt>
                <c:pt idx="4">
                  <c:v>1780</c:v>
                </c:pt>
                <c:pt idx="5">
                  <c:v>1780</c:v>
                </c:pt>
                <c:pt idx="6">
                  <c:v>1780</c:v>
                </c:pt>
                <c:pt idx="7">
                  <c:v>1270</c:v>
                </c:pt>
                <c:pt idx="8">
                  <c:v>1270</c:v>
                </c:pt>
                <c:pt idx="9">
                  <c:v>1270</c:v>
                </c:pt>
                <c:pt idx="10">
                  <c:v>1250</c:v>
                </c:pt>
              </c:numCache>
            </c:numRef>
          </c:xVal>
          <c:yVal>
            <c:numRef>
              <c:f>Busduct!$CA$6:$CA$16</c:f>
              <c:numCache>
                <c:formatCode>0</c:formatCode>
                <c:ptCount val="11"/>
                <c:pt idx="0">
                  <c:v>-495</c:v>
                </c:pt>
                <c:pt idx="1">
                  <c:v>-475</c:v>
                </c:pt>
                <c:pt idx="2">
                  <c:v>-475</c:v>
                </c:pt>
                <c:pt idx="3">
                  <c:v>-495</c:v>
                </c:pt>
                <c:pt idx="4">
                  <c:v>-495</c:v>
                </c:pt>
                <c:pt idx="5" formatCode="General">
                  <c:v>-500</c:v>
                </c:pt>
                <c:pt idx="6">
                  <c:v>-495</c:v>
                </c:pt>
                <c:pt idx="7">
                  <c:v>-495</c:v>
                </c:pt>
                <c:pt idx="8" formatCode="General">
                  <c:v>-500</c:v>
                </c:pt>
                <c:pt idx="9">
                  <c:v>-495</c:v>
                </c:pt>
                <c:pt idx="10">
                  <c:v>-495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895-4C01-B551-65A662E706D5}"/>
            </c:ext>
          </c:extLst>
        </c:ser>
        <c:ser>
          <c:idx val="22"/>
          <c:order val="22"/>
          <c:marker>
            <c:symbol val="none"/>
          </c:marker>
          <c:xVal>
            <c:numRef>
              <c:f>Busduct!$CB$6:$CB$16</c:f>
              <c:numCache>
                <c:formatCode>0</c:formatCode>
                <c:ptCount val="11"/>
                <c:pt idx="0">
                  <c:v>30</c:v>
                </c:pt>
                <c:pt idx="1">
                  <c:v>30</c:v>
                </c:pt>
                <c:pt idx="2">
                  <c:v>580</c:v>
                </c:pt>
                <c:pt idx="3">
                  <c:v>580</c:v>
                </c:pt>
                <c:pt idx="4">
                  <c:v>560</c:v>
                </c:pt>
                <c:pt idx="5">
                  <c:v>560</c:v>
                </c:pt>
                <c:pt idx="6">
                  <c:v>560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30</c:v>
                </c:pt>
              </c:numCache>
            </c:numRef>
          </c:xVal>
          <c:yVal>
            <c:numRef>
              <c:f>Busduct!$CC$6:$CC$16</c:f>
              <c:numCache>
                <c:formatCode>0</c:formatCode>
                <c:ptCount val="11"/>
                <c:pt idx="0">
                  <c:v>-1005</c:v>
                </c:pt>
                <c:pt idx="1">
                  <c:v>-1025</c:v>
                </c:pt>
                <c:pt idx="2">
                  <c:v>-1025</c:v>
                </c:pt>
                <c:pt idx="3">
                  <c:v>-1005</c:v>
                </c:pt>
                <c:pt idx="4">
                  <c:v>-1005</c:v>
                </c:pt>
                <c:pt idx="5" formatCode="General">
                  <c:v>-1000</c:v>
                </c:pt>
                <c:pt idx="6">
                  <c:v>-1005</c:v>
                </c:pt>
                <c:pt idx="7">
                  <c:v>-1005</c:v>
                </c:pt>
                <c:pt idx="8" formatCode="General">
                  <c:v>-1000</c:v>
                </c:pt>
                <c:pt idx="9">
                  <c:v>-1005</c:v>
                </c:pt>
                <c:pt idx="10">
                  <c:v>-1005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895-4C01-B551-65A662E706D5}"/>
            </c:ext>
          </c:extLst>
        </c:ser>
        <c:ser>
          <c:idx val="23"/>
          <c:order val="23"/>
          <c:marker>
            <c:symbol val="none"/>
          </c:marker>
          <c:xVal>
            <c:numRef>
              <c:f>Busduct!$CD$6:$CD$16</c:f>
              <c:numCache>
                <c:formatCode>0</c:formatCode>
                <c:ptCount val="11"/>
                <c:pt idx="0">
                  <c:v>640</c:v>
                </c:pt>
                <c:pt idx="1">
                  <c:v>640</c:v>
                </c:pt>
                <c:pt idx="2">
                  <c:v>1190</c:v>
                </c:pt>
                <c:pt idx="3">
                  <c:v>1190</c:v>
                </c:pt>
                <c:pt idx="4">
                  <c:v>1170</c:v>
                </c:pt>
                <c:pt idx="5">
                  <c:v>1170</c:v>
                </c:pt>
                <c:pt idx="6">
                  <c:v>1170</c:v>
                </c:pt>
                <c:pt idx="7">
                  <c:v>660</c:v>
                </c:pt>
                <c:pt idx="8">
                  <c:v>660</c:v>
                </c:pt>
                <c:pt idx="9">
                  <c:v>660</c:v>
                </c:pt>
                <c:pt idx="10">
                  <c:v>640</c:v>
                </c:pt>
              </c:numCache>
            </c:numRef>
          </c:xVal>
          <c:yVal>
            <c:numRef>
              <c:f>Busduct!$CE$6:$CE$16</c:f>
              <c:numCache>
                <c:formatCode>0</c:formatCode>
                <c:ptCount val="11"/>
                <c:pt idx="0">
                  <c:v>-1005</c:v>
                </c:pt>
                <c:pt idx="1">
                  <c:v>-1025</c:v>
                </c:pt>
                <c:pt idx="2">
                  <c:v>-1025</c:v>
                </c:pt>
                <c:pt idx="3">
                  <c:v>-1005</c:v>
                </c:pt>
                <c:pt idx="4">
                  <c:v>-1005</c:v>
                </c:pt>
                <c:pt idx="5" formatCode="General">
                  <c:v>-1000</c:v>
                </c:pt>
                <c:pt idx="6">
                  <c:v>-1005</c:v>
                </c:pt>
                <c:pt idx="7">
                  <c:v>-1005</c:v>
                </c:pt>
                <c:pt idx="8" formatCode="General">
                  <c:v>-1000</c:v>
                </c:pt>
                <c:pt idx="9">
                  <c:v>-1005</c:v>
                </c:pt>
                <c:pt idx="10">
                  <c:v>-1005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895-4C01-B551-65A662E706D5}"/>
            </c:ext>
          </c:extLst>
        </c:ser>
        <c:ser>
          <c:idx val="24"/>
          <c:order val="24"/>
          <c:marker>
            <c:symbol val="none"/>
          </c:marker>
          <c:xVal>
            <c:numRef>
              <c:f>Busduct!$CF$6:$CF$16</c:f>
              <c:numCache>
                <c:formatCode>0</c:formatCode>
                <c:ptCount val="11"/>
                <c:pt idx="0">
                  <c:v>1250</c:v>
                </c:pt>
                <c:pt idx="1">
                  <c:v>1250</c:v>
                </c:pt>
                <c:pt idx="2">
                  <c:v>1800</c:v>
                </c:pt>
                <c:pt idx="3">
                  <c:v>1800</c:v>
                </c:pt>
                <c:pt idx="4">
                  <c:v>1780</c:v>
                </c:pt>
                <c:pt idx="5">
                  <c:v>1780</c:v>
                </c:pt>
                <c:pt idx="6">
                  <c:v>1780</c:v>
                </c:pt>
                <c:pt idx="7">
                  <c:v>1270</c:v>
                </c:pt>
                <c:pt idx="8">
                  <c:v>1270</c:v>
                </c:pt>
                <c:pt idx="9">
                  <c:v>1270</c:v>
                </c:pt>
                <c:pt idx="10">
                  <c:v>1250</c:v>
                </c:pt>
              </c:numCache>
            </c:numRef>
          </c:xVal>
          <c:yVal>
            <c:numRef>
              <c:f>Busduct!$CG$6:$CG$16</c:f>
              <c:numCache>
                <c:formatCode>0</c:formatCode>
                <c:ptCount val="11"/>
                <c:pt idx="0">
                  <c:v>-1005</c:v>
                </c:pt>
                <c:pt idx="1">
                  <c:v>-1025</c:v>
                </c:pt>
                <c:pt idx="2">
                  <c:v>-1025</c:v>
                </c:pt>
                <c:pt idx="3">
                  <c:v>-1005</c:v>
                </c:pt>
                <c:pt idx="4">
                  <c:v>-1005</c:v>
                </c:pt>
                <c:pt idx="5" formatCode="General">
                  <c:v>-1000</c:v>
                </c:pt>
                <c:pt idx="6">
                  <c:v>-1005</c:v>
                </c:pt>
                <c:pt idx="7">
                  <c:v>-1005</c:v>
                </c:pt>
                <c:pt idx="8" formatCode="General">
                  <c:v>-1000</c:v>
                </c:pt>
                <c:pt idx="9">
                  <c:v>-1005</c:v>
                </c:pt>
                <c:pt idx="10">
                  <c:v>-1005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895-4C01-B551-65A662E706D5}"/>
            </c:ext>
          </c:extLst>
        </c:ser>
        <c:ser>
          <c:idx val="25"/>
          <c:order val="25"/>
          <c:marker>
            <c:symbol val="none"/>
          </c:marker>
          <c:xVal>
            <c:numRef>
              <c:f>Busduct!$CN$6:$CN$10</c:f>
              <c:numCache>
                <c:formatCode>0</c:formatCode>
                <c:ptCount val="5"/>
                <c:pt idx="0">
                  <c:v>2125</c:v>
                </c:pt>
                <c:pt idx="1">
                  <c:v>2105</c:v>
                </c:pt>
                <c:pt idx="2">
                  <c:v>2105</c:v>
                </c:pt>
                <c:pt idx="3">
                  <c:v>2125</c:v>
                </c:pt>
                <c:pt idx="4">
                  <c:v>2125</c:v>
                </c:pt>
              </c:numCache>
            </c:numRef>
          </c:xVal>
          <c:yVal>
            <c:numRef>
              <c:f>Busduct!$CO$6:$CO$10</c:f>
              <c:numCache>
                <c:formatCode>0</c:formatCode>
                <c:ptCount val="5"/>
                <c:pt idx="0">
                  <c:v>-530</c:v>
                </c:pt>
                <c:pt idx="1">
                  <c:v>-530</c:v>
                </c:pt>
                <c:pt idx="2">
                  <c:v>-970</c:v>
                </c:pt>
                <c:pt idx="3">
                  <c:v>-970</c:v>
                </c:pt>
                <c:pt idx="4">
                  <c:v>-530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895-4C01-B551-65A662E706D5}"/>
            </c:ext>
          </c:extLst>
        </c:ser>
        <c:ser>
          <c:idx val="26"/>
          <c:order val="26"/>
          <c:marker>
            <c:symbol val="none"/>
          </c:marker>
          <c:xVal>
            <c:numRef>
              <c:f>Busduct!$CP$6:$CP$10</c:f>
              <c:numCache>
                <c:formatCode>0</c:formatCode>
                <c:ptCount val="5"/>
                <c:pt idx="0">
                  <c:v>3135</c:v>
                </c:pt>
                <c:pt idx="1">
                  <c:v>3155</c:v>
                </c:pt>
                <c:pt idx="2">
                  <c:v>3155</c:v>
                </c:pt>
                <c:pt idx="3">
                  <c:v>3135</c:v>
                </c:pt>
                <c:pt idx="4">
                  <c:v>3135</c:v>
                </c:pt>
              </c:numCache>
            </c:numRef>
          </c:xVal>
          <c:yVal>
            <c:numRef>
              <c:f>Busduct!$CQ$6:$CQ$10</c:f>
              <c:numCache>
                <c:formatCode>0</c:formatCode>
                <c:ptCount val="5"/>
                <c:pt idx="0">
                  <c:v>-530</c:v>
                </c:pt>
                <c:pt idx="1">
                  <c:v>-530</c:v>
                </c:pt>
                <c:pt idx="2">
                  <c:v>-970</c:v>
                </c:pt>
                <c:pt idx="3">
                  <c:v>-970</c:v>
                </c:pt>
                <c:pt idx="4">
                  <c:v>-530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895-4C01-B551-65A662E70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44384"/>
        <c:axId val="143958784"/>
      </c:scatterChart>
      <c:valAx>
        <c:axId val="1437443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58784"/>
        <c:crosses val="autoZero"/>
        <c:crossBetween val="midCat"/>
      </c:valAx>
      <c:valAx>
        <c:axId val="14395878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solidFill>
              <a:sysClr val="windowText" lastClr="000000">
                <a:tint val="75000"/>
                <a:shade val="95000"/>
                <a:satMod val="105000"/>
              </a:sys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44384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10000"/>
      </a:schemeClr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C$13" lockText="1" noThreeD="1"/>
</file>

<file path=xl/ctrlProps/ctrlProp2.xml><?xml version="1.0" encoding="utf-8"?>
<formControlPr xmlns="http://schemas.microsoft.com/office/spreadsheetml/2009/9/main" objectType="CheckBox" checked="Checked" fmlaLink="$C$14" lockText="1" noThreeD="1"/>
</file>

<file path=xl/ctrlProps/ctrlProp3.xml><?xml version="1.0" encoding="utf-8"?>
<formControlPr xmlns="http://schemas.microsoft.com/office/spreadsheetml/2009/9/main" objectType="CheckBox" checked="Checked" fmlaLink="$C$1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57148</xdr:colOff>
      <xdr:row>10</xdr:row>
      <xdr:rowOff>85726</xdr:rowOff>
    </xdr:from>
    <xdr:to>
      <xdr:col>1</xdr:col>
      <xdr:colOff>1485900</xdr:colOff>
      <xdr:row>17</xdr:row>
      <xdr:rowOff>66676</xdr:rowOff>
    </xdr:to>
    <xdr:pic>
      <xdr:nvPicPr>
        <xdr:cNvPr id="2" name="Picture 1" descr="WIDTH &amp; HEIGHT (outer)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48" y="2133601"/>
          <a:ext cx="1428752" cy="13144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18</xdr:row>
      <xdr:rowOff>78049</xdr:rowOff>
    </xdr:from>
    <xdr:to>
      <xdr:col>1</xdr:col>
      <xdr:colOff>1504950</xdr:colOff>
      <xdr:row>25</xdr:row>
      <xdr:rowOff>133167</xdr:rowOff>
    </xdr:to>
    <xdr:pic>
      <xdr:nvPicPr>
        <xdr:cNvPr id="3" name="Picture 2" descr="LENGTH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3659449"/>
          <a:ext cx="1457325" cy="1388618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28</xdr:row>
      <xdr:rowOff>0</xdr:rowOff>
    </xdr:from>
    <xdr:to>
      <xdr:col>1</xdr:col>
      <xdr:colOff>1495424</xdr:colOff>
      <xdr:row>32</xdr:row>
      <xdr:rowOff>47625</xdr:rowOff>
    </xdr:to>
    <xdr:pic>
      <xdr:nvPicPr>
        <xdr:cNvPr id="4" name="Picture 3" descr="MID SUPPORT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099" y="5495925"/>
          <a:ext cx="14573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28573</xdr:colOff>
      <xdr:row>2</xdr:row>
      <xdr:rowOff>76200</xdr:rowOff>
    </xdr:from>
    <xdr:to>
      <xdr:col>1</xdr:col>
      <xdr:colOff>1495424</xdr:colOff>
      <xdr:row>9</xdr:row>
      <xdr:rowOff>114300</xdr:rowOff>
    </xdr:to>
    <xdr:pic>
      <xdr:nvPicPr>
        <xdr:cNvPr id="5" name="Picture 4" descr="WIDTH &amp; HEIGHT (inner).pn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573" y="590550"/>
          <a:ext cx="1466851" cy="1371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1396999</xdr:colOff>
      <xdr:row>1</xdr:row>
      <xdr:rowOff>0</xdr:rowOff>
    </xdr:from>
    <xdr:to>
      <xdr:col>19</xdr:col>
      <xdr:colOff>14110</xdr:colOff>
      <xdr:row>15</xdr:row>
      <xdr:rowOff>366889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16</xdr:row>
          <xdr:rowOff>144780</xdr:rowOff>
        </xdr:from>
        <xdr:to>
          <xdr:col>11</xdr:col>
          <xdr:colOff>579120</xdr:colOff>
          <xdr:row>17</xdr:row>
          <xdr:rowOff>289560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12</xdr:row>
          <xdr:rowOff>30480</xdr:rowOff>
        </xdr:from>
        <xdr:to>
          <xdr:col>2</xdr:col>
          <xdr:colOff>1089660</xdr:colOff>
          <xdr:row>12</xdr:row>
          <xdr:rowOff>266700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CC00" mc:Ignorable="a14" a14:legacySpreadsheetColorIndex="51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13</xdr:row>
          <xdr:rowOff>7620</xdr:rowOff>
        </xdr:from>
        <xdr:to>
          <xdr:col>2</xdr:col>
          <xdr:colOff>1074420</xdr:colOff>
          <xdr:row>13</xdr:row>
          <xdr:rowOff>297180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14</xdr:row>
          <xdr:rowOff>22860</xdr:rowOff>
        </xdr:from>
        <xdr:to>
          <xdr:col>2</xdr:col>
          <xdr:colOff>1074420</xdr:colOff>
          <xdr:row>14</xdr:row>
          <xdr:rowOff>251460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4"/>
  <sheetViews>
    <sheetView workbookViewId="0">
      <selection activeCell="F13" sqref="F13"/>
    </sheetView>
  </sheetViews>
  <sheetFormatPr defaultRowHeight="14.4" x14ac:dyDescent="0.3"/>
  <cols>
    <col min="2" max="2" width="23.33203125" customWidth="1"/>
  </cols>
  <sheetData>
    <row r="1" spans="1:4" ht="24" thickBot="1" x14ac:dyDescent="0.35">
      <c r="A1" s="56" t="s">
        <v>2</v>
      </c>
      <c r="B1" s="56"/>
      <c r="C1" s="56"/>
      <c r="D1" s="56"/>
    </row>
    <row r="2" spans="1:4" ht="16.2" thickBot="1" x14ac:dyDescent="0.35">
      <c r="A2" s="2" t="s">
        <v>4</v>
      </c>
      <c r="B2" s="1" t="s">
        <v>3</v>
      </c>
      <c r="C2" s="57" t="s">
        <v>5</v>
      </c>
      <c r="D2" s="58"/>
    </row>
    <row r="3" spans="1:4" x14ac:dyDescent="0.3">
      <c r="A3" s="53" t="s">
        <v>6</v>
      </c>
      <c r="B3" s="50"/>
      <c r="C3" s="3" t="s">
        <v>7</v>
      </c>
      <c r="D3" s="4">
        <v>20</v>
      </c>
    </row>
    <row r="4" spans="1:4" x14ac:dyDescent="0.3">
      <c r="A4" s="54"/>
      <c r="B4" s="51"/>
      <c r="C4" s="5" t="s">
        <v>8</v>
      </c>
      <c r="D4" s="6">
        <v>25</v>
      </c>
    </row>
    <row r="5" spans="1:4" x14ac:dyDescent="0.3">
      <c r="A5" s="54"/>
      <c r="B5" s="51"/>
      <c r="C5" s="5" t="s">
        <v>9</v>
      </c>
      <c r="D5" s="6">
        <v>50</v>
      </c>
    </row>
    <row r="6" spans="1:4" x14ac:dyDescent="0.3">
      <c r="A6" s="54"/>
      <c r="B6" s="51"/>
      <c r="C6" s="5" t="s">
        <v>10</v>
      </c>
      <c r="D6" s="6">
        <v>50</v>
      </c>
    </row>
    <row r="7" spans="1:4" x14ac:dyDescent="0.3">
      <c r="A7" s="54"/>
      <c r="B7" s="51"/>
      <c r="C7" s="5" t="s">
        <v>11</v>
      </c>
      <c r="D7" s="6" t="s">
        <v>12</v>
      </c>
    </row>
    <row r="8" spans="1:4" x14ac:dyDescent="0.3">
      <c r="A8" s="54"/>
      <c r="B8" s="51"/>
      <c r="C8" s="5" t="s">
        <v>13</v>
      </c>
      <c r="D8" s="6" t="s">
        <v>12</v>
      </c>
    </row>
    <row r="9" spans="1:4" x14ac:dyDescent="0.3">
      <c r="A9" s="54"/>
      <c r="B9" s="51"/>
      <c r="C9" s="5" t="s">
        <v>14</v>
      </c>
      <c r="D9" s="6" t="s">
        <v>12</v>
      </c>
    </row>
    <row r="10" spans="1:4" ht="15" thickBot="1" x14ac:dyDescent="0.35">
      <c r="A10" s="55"/>
      <c r="B10" s="52"/>
      <c r="C10" s="7" t="s">
        <v>15</v>
      </c>
      <c r="D10" s="8">
        <v>15</v>
      </c>
    </row>
    <row r="11" spans="1:4" x14ac:dyDescent="0.3">
      <c r="A11" s="53" t="s">
        <v>16</v>
      </c>
      <c r="B11" s="50"/>
      <c r="C11" s="3" t="s">
        <v>7</v>
      </c>
      <c r="D11" s="4">
        <v>20</v>
      </c>
    </row>
    <row r="12" spans="1:4" x14ac:dyDescent="0.3">
      <c r="A12" s="54"/>
      <c r="B12" s="51"/>
      <c r="C12" s="5" t="s">
        <v>8</v>
      </c>
      <c r="D12" s="6">
        <v>25</v>
      </c>
    </row>
    <row r="13" spans="1:4" x14ac:dyDescent="0.3">
      <c r="A13" s="54"/>
      <c r="B13" s="51"/>
      <c r="C13" s="5" t="s">
        <v>9</v>
      </c>
      <c r="D13" s="6">
        <v>50</v>
      </c>
    </row>
    <row r="14" spans="1:4" x14ac:dyDescent="0.3">
      <c r="A14" s="54"/>
      <c r="B14" s="51"/>
      <c r="C14" s="5" t="s">
        <v>10</v>
      </c>
      <c r="D14" s="6">
        <v>50</v>
      </c>
    </row>
    <row r="15" spans="1:4" x14ac:dyDescent="0.3">
      <c r="A15" s="54"/>
      <c r="B15" s="51"/>
      <c r="C15" s="5" t="s">
        <v>11</v>
      </c>
      <c r="D15" s="6" t="s">
        <v>12</v>
      </c>
    </row>
    <row r="16" spans="1:4" x14ac:dyDescent="0.3">
      <c r="A16" s="54"/>
      <c r="B16" s="51"/>
      <c r="C16" s="5" t="s">
        <v>13</v>
      </c>
      <c r="D16" s="6" t="s">
        <v>12</v>
      </c>
    </row>
    <row r="17" spans="1:4" x14ac:dyDescent="0.3">
      <c r="A17" s="54"/>
      <c r="B17" s="51"/>
      <c r="C17" s="5" t="s">
        <v>14</v>
      </c>
      <c r="D17" s="6" t="s">
        <v>12</v>
      </c>
    </row>
    <row r="18" spans="1:4" ht="15" thickBot="1" x14ac:dyDescent="0.35">
      <c r="A18" s="55"/>
      <c r="B18" s="52"/>
      <c r="C18" s="7" t="s">
        <v>15</v>
      </c>
      <c r="D18" s="8" t="s">
        <v>12</v>
      </c>
    </row>
    <row r="19" spans="1:4" x14ac:dyDescent="0.3">
      <c r="A19" s="53" t="s">
        <v>17</v>
      </c>
      <c r="B19" s="50"/>
      <c r="C19" s="3" t="s">
        <v>7</v>
      </c>
      <c r="D19" s="4">
        <f>D3</f>
        <v>20</v>
      </c>
    </row>
    <row r="20" spans="1:4" x14ac:dyDescent="0.3">
      <c r="A20" s="54"/>
      <c r="B20" s="51"/>
      <c r="C20" s="5" t="s">
        <v>8</v>
      </c>
      <c r="D20" s="6">
        <f>D4</f>
        <v>25</v>
      </c>
    </row>
    <row r="21" spans="1:4" x14ac:dyDescent="0.3">
      <c r="A21" s="54"/>
      <c r="B21" s="51"/>
      <c r="C21" s="5" t="s">
        <v>9</v>
      </c>
      <c r="D21" s="6" t="s">
        <v>12</v>
      </c>
    </row>
    <row r="22" spans="1:4" x14ac:dyDescent="0.3">
      <c r="A22" s="54"/>
      <c r="B22" s="51"/>
      <c r="C22" s="5" t="s">
        <v>10</v>
      </c>
      <c r="D22" s="6" t="s">
        <v>12</v>
      </c>
    </row>
    <row r="23" spans="1:4" x14ac:dyDescent="0.3">
      <c r="A23" s="54"/>
      <c r="B23" s="51"/>
      <c r="C23" s="5" t="s">
        <v>11</v>
      </c>
      <c r="D23" s="6">
        <v>50</v>
      </c>
    </row>
    <row r="24" spans="1:4" x14ac:dyDescent="0.3">
      <c r="A24" s="54"/>
      <c r="B24" s="51"/>
      <c r="C24" s="5" t="s">
        <v>13</v>
      </c>
      <c r="D24" s="6">
        <v>50</v>
      </c>
    </row>
    <row r="25" spans="1:4" x14ac:dyDescent="0.3">
      <c r="A25" s="54"/>
      <c r="B25" s="51"/>
      <c r="C25" s="5" t="s">
        <v>14</v>
      </c>
      <c r="D25" s="6" t="s">
        <v>12</v>
      </c>
    </row>
    <row r="26" spans="1:4" ht="15" thickBot="1" x14ac:dyDescent="0.35">
      <c r="A26" s="55"/>
      <c r="B26" s="52"/>
      <c r="C26" s="7" t="s">
        <v>15</v>
      </c>
      <c r="D26" s="8" t="s">
        <v>12</v>
      </c>
    </row>
    <row r="27" spans="1:4" x14ac:dyDescent="0.3">
      <c r="A27" s="53" t="s">
        <v>18</v>
      </c>
      <c r="B27" s="50"/>
      <c r="C27" s="3" t="s">
        <v>7</v>
      </c>
      <c r="D27" s="4">
        <f>D3</f>
        <v>20</v>
      </c>
    </row>
    <row r="28" spans="1:4" x14ac:dyDescent="0.3">
      <c r="A28" s="54"/>
      <c r="B28" s="51"/>
      <c r="C28" s="5" t="s">
        <v>8</v>
      </c>
      <c r="D28" s="6">
        <f>D4</f>
        <v>25</v>
      </c>
    </row>
    <row r="29" spans="1:4" x14ac:dyDescent="0.3">
      <c r="A29" s="54"/>
      <c r="B29" s="51"/>
      <c r="C29" s="5" t="s">
        <v>9</v>
      </c>
      <c r="D29" s="6" t="s">
        <v>12</v>
      </c>
    </row>
    <row r="30" spans="1:4" x14ac:dyDescent="0.3">
      <c r="A30" s="54"/>
      <c r="B30" s="51"/>
      <c r="C30" s="5" t="s">
        <v>10</v>
      </c>
      <c r="D30" s="6" t="s">
        <v>12</v>
      </c>
    </row>
    <row r="31" spans="1:4" x14ac:dyDescent="0.3">
      <c r="A31" s="54"/>
      <c r="B31" s="51"/>
      <c r="C31" s="5" t="s">
        <v>11</v>
      </c>
      <c r="D31" s="6" t="s">
        <v>12</v>
      </c>
    </row>
    <row r="32" spans="1:4" x14ac:dyDescent="0.3">
      <c r="A32" s="54"/>
      <c r="B32" s="51"/>
      <c r="C32" s="5" t="s">
        <v>13</v>
      </c>
      <c r="D32" s="6" t="s">
        <v>12</v>
      </c>
    </row>
    <row r="33" spans="1:4" x14ac:dyDescent="0.3">
      <c r="A33" s="54"/>
      <c r="B33" s="51"/>
      <c r="C33" s="5" t="s">
        <v>14</v>
      </c>
      <c r="D33" s="6">
        <v>100</v>
      </c>
    </row>
    <row r="34" spans="1:4" ht="15" thickBot="1" x14ac:dyDescent="0.35">
      <c r="A34" s="55"/>
      <c r="B34" s="52"/>
      <c r="C34" s="7" t="s">
        <v>15</v>
      </c>
      <c r="D34" s="8" t="s">
        <v>12</v>
      </c>
    </row>
  </sheetData>
  <mergeCells count="10">
    <mergeCell ref="B3:B10"/>
    <mergeCell ref="A3:A10"/>
    <mergeCell ref="A1:D1"/>
    <mergeCell ref="C2:D2"/>
    <mergeCell ref="B27:B34"/>
    <mergeCell ref="A27:A34"/>
    <mergeCell ref="B19:B26"/>
    <mergeCell ref="A19:A26"/>
    <mergeCell ref="B11:B18"/>
    <mergeCell ref="A11:A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U19"/>
  <sheetViews>
    <sheetView tabSelected="1" topLeftCell="A2" zoomScale="55" zoomScaleNormal="55" workbookViewId="0">
      <pane xSplit="19" topLeftCell="T1" activePane="topRight" state="frozen"/>
      <selection activeCell="A5" sqref="A5"/>
      <selection pane="topRight" activeCell="AB6" sqref="AB6"/>
    </sheetView>
  </sheetViews>
  <sheetFormatPr defaultColWidth="9.109375" defaultRowHeight="30" customHeight="1" x14ac:dyDescent="0.3"/>
  <cols>
    <col min="1" max="1" width="7" style="9" hidden="1" customWidth="1"/>
    <col min="2" max="2" width="15.44140625" style="9" customWidth="1"/>
    <col min="3" max="3" width="20.44140625" style="9" customWidth="1"/>
    <col min="4" max="19" width="9.109375" style="9"/>
    <col min="20" max="21" width="10.6640625" style="9" customWidth="1"/>
    <col min="22" max="23" width="9.109375" style="11"/>
    <col min="24" max="24" width="11.33203125" style="11" customWidth="1"/>
    <col min="25" max="25" width="9.109375" style="11"/>
    <col min="26" max="27" width="9.109375" style="11" hidden="1" customWidth="1"/>
    <col min="28" max="28" width="10" style="9" bestFit="1" customWidth="1"/>
    <col min="29" max="29" width="9.109375" style="9"/>
    <col min="30" max="30" width="10" style="9" hidden="1" customWidth="1"/>
    <col min="31" max="31" width="9.109375" style="9" hidden="1" customWidth="1"/>
    <col min="32" max="33" width="9.109375" style="9"/>
    <col min="34" max="35" width="9.109375" style="9" hidden="1" customWidth="1"/>
    <col min="36" max="41" width="9.109375" style="9"/>
    <col min="42" max="42" width="9.109375" style="9" customWidth="1"/>
    <col min="43" max="47" width="9.109375" style="9"/>
    <col min="48" max="48" width="9.109375" style="9" customWidth="1"/>
    <col min="49" max="49" width="9.109375" style="9"/>
    <col min="50" max="51" width="10.6640625" style="9" customWidth="1"/>
    <col min="52" max="55" width="9.109375" style="9"/>
    <col min="56" max="59" width="9.109375" style="9" hidden="1" customWidth="1"/>
    <col min="60" max="61" width="9.109375" style="9"/>
    <col min="62" max="65" width="9.109375" style="9" hidden="1" customWidth="1"/>
    <col min="66" max="67" width="9.109375" style="9"/>
    <col min="68" max="69" width="10" style="9" hidden="1" customWidth="1"/>
    <col min="70" max="71" width="9.109375" style="9" hidden="1" customWidth="1"/>
    <col min="72" max="72" width="9.109375" style="9"/>
    <col min="73" max="73" width="10.88671875" style="9" bestFit="1" customWidth="1"/>
    <col min="74" max="77" width="9.109375" style="9"/>
    <col min="78" max="78" width="9.109375" style="9" customWidth="1"/>
    <col min="79" max="83" width="9.109375" style="9"/>
    <col min="84" max="84" width="9.109375" style="9" customWidth="1"/>
    <col min="85" max="85" width="9.109375" style="9"/>
    <col min="86" max="87" width="10.6640625" style="9" customWidth="1"/>
    <col min="88" max="89" width="9.33203125" style="9" bestFit="1" customWidth="1"/>
    <col min="90" max="90" width="10.33203125" style="9" bestFit="1" customWidth="1"/>
    <col min="91" max="91" width="9.33203125" style="9" bestFit="1" customWidth="1"/>
    <col min="92" max="95" width="9.109375" style="9"/>
    <col min="96" max="96" width="9.5546875" style="9" bestFit="1" customWidth="1"/>
    <col min="97" max="16384" width="9.109375" style="9"/>
  </cols>
  <sheetData>
    <row r="1" spans="1:99" ht="57" hidden="1" customHeight="1" x14ac:dyDescent="0.3">
      <c r="A1" s="39"/>
      <c r="B1" s="40">
        <v>1</v>
      </c>
      <c r="C1" s="41">
        <v>2</v>
      </c>
    </row>
    <row r="2" spans="1:99" ht="45" customHeight="1" x14ac:dyDescent="0.3">
      <c r="A2" s="89" t="s">
        <v>62</v>
      </c>
      <c r="B2" s="89"/>
      <c r="C2" s="89"/>
      <c r="T2" s="84" t="s">
        <v>40</v>
      </c>
      <c r="U2" s="84"/>
      <c r="V2" s="92" t="s">
        <v>53</v>
      </c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4"/>
      <c r="AX2" s="76" t="s">
        <v>30</v>
      </c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  <c r="BR2" s="77"/>
      <c r="BS2" s="77"/>
      <c r="BT2" s="77"/>
      <c r="BU2" s="77"/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8"/>
      <c r="CH2" s="65" t="s">
        <v>41</v>
      </c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</row>
    <row r="3" spans="1:99" ht="34.950000000000003" customHeight="1" x14ac:dyDescent="0.3">
      <c r="A3" s="90" t="s">
        <v>19</v>
      </c>
      <c r="B3" s="37" t="s">
        <v>20</v>
      </c>
      <c r="C3" s="38">
        <v>4000</v>
      </c>
      <c r="T3" s="84"/>
      <c r="U3" s="84"/>
      <c r="V3" s="70" t="s">
        <v>46</v>
      </c>
      <c r="W3" s="72"/>
      <c r="X3" s="70" t="s">
        <v>49</v>
      </c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2"/>
      <c r="AJ3" s="70" t="s">
        <v>48</v>
      </c>
      <c r="AK3" s="72"/>
      <c r="AL3" s="70" t="s">
        <v>51</v>
      </c>
      <c r="AM3" s="71"/>
      <c r="AN3" s="71"/>
      <c r="AO3" s="71"/>
      <c r="AP3" s="71"/>
      <c r="AQ3" s="72"/>
      <c r="AR3" s="70" t="s">
        <v>52</v>
      </c>
      <c r="AS3" s="71"/>
      <c r="AT3" s="71"/>
      <c r="AU3" s="71"/>
      <c r="AV3" s="71"/>
      <c r="AW3" s="72"/>
      <c r="AX3" s="59" t="s">
        <v>31</v>
      </c>
      <c r="AY3" s="60"/>
      <c r="AZ3" s="73" t="s">
        <v>46</v>
      </c>
      <c r="BA3" s="75"/>
      <c r="BB3" s="73" t="s">
        <v>47</v>
      </c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5"/>
      <c r="BT3" s="73" t="s">
        <v>48</v>
      </c>
      <c r="BU3" s="75"/>
      <c r="BV3" s="73" t="s">
        <v>49</v>
      </c>
      <c r="BW3" s="74"/>
      <c r="BX3" s="74"/>
      <c r="BY3" s="74"/>
      <c r="BZ3" s="74"/>
      <c r="CA3" s="75"/>
      <c r="CB3" s="73" t="s">
        <v>50</v>
      </c>
      <c r="CC3" s="74"/>
      <c r="CD3" s="74"/>
      <c r="CE3" s="74"/>
      <c r="CF3" s="74"/>
      <c r="CG3" s="75"/>
      <c r="CH3" s="67" t="s">
        <v>31</v>
      </c>
      <c r="CI3" s="67"/>
      <c r="CJ3" s="66" t="s">
        <v>32</v>
      </c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</row>
    <row r="4" spans="1:99" ht="34.950000000000003" customHeight="1" x14ac:dyDescent="0.3">
      <c r="A4" s="85"/>
      <c r="B4" s="10" t="s">
        <v>21</v>
      </c>
      <c r="C4" s="16">
        <v>415</v>
      </c>
      <c r="T4" s="31">
        <v>0</v>
      </c>
      <c r="U4" s="43">
        <v>0</v>
      </c>
      <c r="V4" s="95" t="s">
        <v>33</v>
      </c>
      <c r="W4" s="96"/>
      <c r="X4" s="97" t="s">
        <v>27</v>
      </c>
      <c r="Y4" s="98"/>
      <c r="Z4" s="98"/>
      <c r="AA4" s="99"/>
      <c r="AB4" s="97" t="s">
        <v>28</v>
      </c>
      <c r="AC4" s="98"/>
      <c r="AD4" s="98"/>
      <c r="AE4" s="99"/>
      <c r="AF4" s="97" t="s">
        <v>29</v>
      </c>
      <c r="AG4" s="98"/>
      <c r="AH4" s="98"/>
      <c r="AI4" s="99"/>
      <c r="AJ4" s="63" t="s">
        <v>22</v>
      </c>
      <c r="AK4" s="64"/>
      <c r="AL4" s="63" t="s">
        <v>27</v>
      </c>
      <c r="AM4" s="64"/>
      <c r="AN4" s="63" t="s">
        <v>28</v>
      </c>
      <c r="AO4" s="64"/>
      <c r="AP4" s="63" t="s">
        <v>29</v>
      </c>
      <c r="AQ4" s="64"/>
      <c r="AR4" s="63" t="s">
        <v>27</v>
      </c>
      <c r="AS4" s="64"/>
      <c r="AT4" s="63" t="s">
        <v>28</v>
      </c>
      <c r="AU4" s="64"/>
      <c r="AV4" s="63" t="s">
        <v>29</v>
      </c>
      <c r="AW4" s="64"/>
      <c r="AX4" s="42">
        <f>T4</f>
        <v>0</v>
      </c>
      <c r="AY4" s="44">
        <f>U4-$C8*2</f>
        <v>-1000</v>
      </c>
      <c r="AZ4" s="61" t="s">
        <v>33</v>
      </c>
      <c r="BA4" s="62"/>
      <c r="BB4" s="91" t="s">
        <v>27</v>
      </c>
      <c r="BC4" s="91"/>
      <c r="BD4" s="91"/>
      <c r="BE4" s="91"/>
      <c r="BF4" s="91"/>
      <c r="BG4" s="91"/>
      <c r="BH4" s="91" t="s">
        <v>28</v>
      </c>
      <c r="BI4" s="91"/>
      <c r="BJ4" s="91"/>
      <c r="BK4" s="91"/>
      <c r="BL4" s="91"/>
      <c r="BM4" s="91"/>
      <c r="BN4" s="91" t="s">
        <v>29</v>
      </c>
      <c r="BO4" s="91"/>
      <c r="BP4" s="91"/>
      <c r="BQ4" s="91"/>
      <c r="BR4" s="91"/>
      <c r="BS4" s="91"/>
      <c r="BT4" s="79" t="s">
        <v>22</v>
      </c>
      <c r="BU4" s="80"/>
      <c r="BV4" s="79" t="s">
        <v>27</v>
      </c>
      <c r="BW4" s="80"/>
      <c r="BX4" s="79" t="s">
        <v>28</v>
      </c>
      <c r="BY4" s="80"/>
      <c r="BZ4" s="79" t="s">
        <v>29</v>
      </c>
      <c r="CA4" s="80"/>
      <c r="CB4" s="79" t="s">
        <v>27</v>
      </c>
      <c r="CC4" s="80"/>
      <c r="CD4" s="79" t="s">
        <v>28</v>
      </c>
      <c r="CE4" s="80"/>
      <c r="CF4" s="79" t="s">
        <v>29</v>
      </c>
      <c r="CG4" s="80"/>
      <c r="CH4" s="28">
        <f>T4+$C9+300</f>
        <v>2130</v>
      </c>
      <c r="CI4" s="27">
        <f>AY4</f>
        <v>-1000</v>
      </c>
      <c r="CJ4" s="68" t="s">
        <v>33</v>
      </c>
      <c r="CK4" s="69"/>
      <c r="CL4" s="69" t="s">
        <v>22</v>
      </c>
      <c r="CM4" s="69"/>
      <c r="CN4" s="81" t="s">
        <v>60</v>
      </c>
      <c r="CO4" s="82"/>
      <c r="CP4" s="81" t="s">
        <v>61</v>
      </c>
      <c r="CQ4" s="82"/>
      <c r="CR4" s="82" t="s">
        <v>36</v>
      </c>
      <c r="CS4" s="68"/>
      <c r="CT4" s="68" t="s">
        <v>35</v>
      </c>
      <c r="CU4" s="68"/>
    </row>
    <row r="5" spans="1:99" ht="34.950000000000003" customHeight="1" x14ac:dyDescent="0.3">
      <c r="A5" s="86" t="s">
        <v>5</v>
      </c>
      <c r="B5" s="10" t="s">
        <v>44</v>
      </c>
      <c r="C5" s="17" t="s">
        <v>45</v>
      </c>
      <c r="T5" s="32"/>
      <c r="U5" s="32"/>
      <c r="V5" s="34" t="s">
        <v>25</v>
      </c>
      <c r="W5" s="36" t="s">
        <v>26</v>
      </c>
      <c r="X5" s="47" t="s">
        <v>25</v>
      </c>
      <c r="Y5" s="47" t="s">
        <v>26</v>
      </c>
      <c r="Z5" s="47" t="s">
        <v>54</v>
      </c>
      <c r="AA5" s="47" t="s">
        <v>55</v>
      </c>
      <c r="AB5" s="47" t="s">
        <v>25</v>
      </c>
      <c r="AC5" s="47" t="s">
        <v>26</v>
      </c>
      <c r="AD5" s="47" t="s">
        <v>54</v>
      </c>
      <c r="AE5" s="47" t="s">
        <v>55</v>
      </c>
      <c r="AF5" s="47" t="s">
        <v>25</v>
      </c>
      <c r="AG5" s="47" t="s">
        <v>26</v>
      </c>
      <c r="AH5" s="47" t="s">
        <v>54</v>
      </c>
      <c r="AI5" s="47" t="s">
        <v>55</v>
      </c>
      <c r="AJ5" s="47" t="s">
        <v>25</v>
      </c>
      <c r="AK5" s="47" t="s">
        <v>26</v>
      </c>
      <c r="AL5" s="34" t="s">
        <v>25</v>
      </c>
      <c r="AM5" s="34" t="s">
        <v>26</v>
      </c>
      <c r="AN5" s="34" t="s">
        <v>25</v>
      </c>
      <c r="AO5" s="34" t="s">
        <v>26</v>
      </c>
      <c r="AP5" s="34" t="s">
        <v>25</v>
      </c>
      <c r="AQ5" s="34" t="s">
        <v>26</v>
      </c>
      <c r="AR5" s="34" t="s">
        <v>25</v>
      </c>
      <c r="AS5" s="34" t="s">
        <v>26</v>
      </c>
      <c r="AT5" s="34" t="s">
        <v>25</v>
      </c>
      <c r="AU5" s="34" t="s">
        <v>26</v>
      </c>
      <c r="AV5" s="34" t="s">
        <v>25</v>
      </c>
      <c r="AW5" s="34" t="s">
        <v>26</v>
      </c>
      <c r="AX5" s="18"/>
      <c r="AY5" s="18"/>
      <c r="AZ5" s="35" t="s">
        <v>25</v>
      </c>
      <c r="BA5" s="45" t="s">
        <v>26</v>
      </c>
      <c r="BB5" s="46" t="s">
        <v>25</v>
      </c>
      <c r="BC5" s="46" t="s">
        <v>26</v>
      </c>
      <c r="BD5" s="46" t="s">
        <v>56</v>
      </c>
      <c r="BE5" s="46" t="s">
        <v>58</v>
      </c>
      <c r="BF5" s="46" t="s">
        <v>57</v>
      </c>
      <c r="BG5" s="46" t="s">
        <v>59</v>
      </c>
      <c r="BH5" s="46" t="s">
        <v>25</v>
      </c>
      <c r="BI5" s="46" t="s">
        <v>26</v>
      </c>
      <c r="BJ5" s="46" t="s">
        <v>56</v>
      </c>
      <c r="BK5" s="46" t="s">
        <v>58</v>
      </c>
      <c r="BL5" s="46" t="s">
        <v>57</v>
      </c>
      <c r="BM5" s="46" t="s">
        <v>59</v>
      </c>
      <c r="BN5" s="46" t="s">
        <v>25</v>
      </c>
      <c r="BO5" s="46" t="s">
        <v>26</v>
      </c>
      <c r="BP5" s="46" t="s">
        <v>56</v>
      </c>
      <c r="BQ5" s="46" t="s">
        <v>58</v>
      </c>
      <c r="BR5" s="46" t="s">
        <v>57</v>
      </c>
      <c r="BS5" s="46" t="s">
        <v>59</v>
      </c>
      <c r="BT5" s="46" t="s">
        <v>25</v>
      </c>
      <c r="BU5" s="46" t="s">
        <v>26</v>
      </c>
      <c r="BV5" s="35" t="s">
        <v>25</v>
      </c>
      <c r="BW5" s="35" t="s">
        <v>26</v>
      </c>
      <c r="BX5" s="35" t="s">
        <v>25</v>
      </c>
      <c r="BY5" s="35" t="s">
        <v>26</v>
      </c>
      <c r="BZ5" s="35" t="s">
        <v>25</v>
      </c>
      <c r="CA5" s="35" t="s">
        <v>26</v>
      </c>
      <c r="CB5" s="35" t="s">
        <v>25</v>
      </c>
      <c r="CC5" s="35" t="s">
        <v>26</v>
      </c>
      <c r="CD5" s="35" t="s">
        <v>25</v>
      </c>
      <c r="CE5" s="35" t="s">
        <v>26</v>
      </c>
      <c r="CF5" s="35" t="s">
        <v>25</v>
      </c>
      <c r="CG5" s="35" t="s">
        <v>26</v>
      </c>
      <c r="CH5" s="18"/>
      <c r="CI5" s="18"/>
      <c r="CJ5" s="20" t="s">
        <v>25</v>
      </c>
      <c r="CK5" s="20" t="s">
        <v>26</v>
      </c>
      <c r="CL5" s="20" t="s">
        <v>25</v>
      </c>
      <c r="CM5" s="20" t="s">
        <v>26</v>
      </c>
      <c r="CN5" s="48" t="s">
        <v>25</v>
      </c>
      <c r="CO5" s="48" t="s">
        <v>26</v>
      </c>
      <c r="CP5" s="48" t="s">
        <v>25</v>
      </c>
      <c r="CQ5" s="48" t="s">
        <v>26</v>
      </c>
      <c r="CR5" s="49" t="s">
        <v>25</v>
      </c>
      <c r="CS5" s="20" t="s">
        <v>26</v>
      </c>
      <c r="CT5" s="20" t="s">
        <v>25</v>
      </c>
      <c r="CU5" s="20" t="s">
        <v>26</v>
      </c>
    </row>
    <row r="6" spans="1:99" ht="34.950000000000003" customHeight="1" x14ac:dyDescent="0.3">
      <c r="A6" s="87"/>
      <c r="B6" s="10" t="s">
        <v>34</v>
      </c>
      <c r="C6" s="14">
        <v>3</v>
      </c>
      <c r="T6" s="33"/>
      <c r="U6" s="33"/>
      <c r="V6" s="22">
        <f>T4</f>
        <v>0</v>
      </c>
      <c r="W6" s="23">
        <f>U4</f>
        <v>0</v>
      </c>
      <c r="X6" s="22">
        <f>IF(AND($C12&gt;0,$C13=TRUE,$C12&lt;4),IF($C10="INNER",V6+('Cross-sections'!$D$5-'Cross-sections'!$D$3),V6+('Cross-sections'!$D$13-'Cross-sections'!$D$11)),"")</f>
        <v>30</v>
      </c>
      <c r="Y6" s="29">
        <f>IF(AND($C12&gt;0,$C13=TRUE,$C12&lt;4),W6+'Cross-sections'!$D$23-'Cross-sections'!$D$19,"")</f>
        <v>30</v>
      </c>
      <c r="Z6" s="29">
        <f>IF(AND($C12&gt;0,$C14=TRUE,$C12&lt;4),IF($C10="INNER",V6+('Cross-sections'!$D$5-'Cross-sections'!$D$3),V6+('Cross-sections'!$D$13-'Cross-sections'!$D$11)),"")</f>
        <v>30</v>
      </c>
      <c r="AA6" s="23">
        <f>IF(AND($C12&gt;0,$C14=TRUE,$C12&lt;4),W6+'Cross-sections'!$D$23-'Cross-sections'!$D$19,"")</f>
        <v>30</v>
      </c>
      <c r="AB6" s="22">
        <f>IF(AND($C12&gt;1,$C13=TRUE,$C12&lt;4),X7+('Cross-sections'!$D$33-'Cross-sections'!$D$27*2),"")</f>
        <v>640</v>
      </c>
      <c r="AC6" s="29">
        <f>IF(AND($C12&gt;1,$C12&lt;4),Y6,"")</f>
        <v>30</v>
      </c>
      <c r="AD6" s="29">
        <f>IF(AND($C12&gt;1,$C14=TRUE,$C12&lt;4),Z7+('Cross-sections'!$D$33-'Cross-sections'!$D$27*2),"")</f>
        <v>640</v>
      </c>
      <c r="AE6" s="23">
        <f>IF(AND($C12&gt;1,$C12&lt;4,$C14=TRUE),AA6,"")</f>
        <v>30</v>
      </c>
      <c r="AF6" s="22">
        <f>IF(AND($C12&gt;2,$C13=TRUE,$C12&lt;4),AB7+('Cross-sections'!$D$33-'Cross-sections'!$D$27*2),"")</f>
        <v>1250</v>
      </c>
      <c r="AG6" s="29">
        <f>IF($C12&gt;2,AC6,"")</f>
        <v>30</v>
      </c>
      <c r="AH6" s="29">
        <f>IF(AND($C12&gt;2,$C14=TRUE,$C12&lt;4),AD7+('Cross-sections'!$D$33-'Cross-sections'!$D$27*2),"")</f>
        <v>1250</v>
      </c>
      <c r="AI6" s="23">
        <f>IF($C12&gt;2,AE6,"")</f>
        <v>30</v>
      </c>
      <c r="AJ6" s="22" t="str">
        <f>IF($C10="OUTER",V6,"")</f>
        <v/>
      </c>
      <c r="AK6" s="23" t="str">
        <f>IF($C10="OUTER",W6,"")</f>
        <v/>
      </c>
      <c r="AL6" s="22">
        <f>IF(AND($X6&lt;&gt;"",$C14=TRUE),$X6,IF(AND($Z6&lt;&gt;"",$C13&lt;&gt;TRUE),$Z6,""))</f>
        <v>30</v>
      </c>
      <c r="AM6" s="23">
        <f>IF(AND($Y6&lt;&gt;"",$C14=TRUE),$Y8+('Cross-sections'!$D$23-'Cross-sections'!$D$19)+('Cross-sections'!$D$20-'Cross-sections'!$D$19),IF(AND($AA6&lt;&gt;"",$C13&lt;&gt;TRUE),$AA8+('Cross-sections'!$D$23-'Cross-sections'!$D$19)+('Cross-sections'!$D$20-'Cross-sections'!$D$19),""))</f>
        <v>1005</v>
      </c>
      <c r="AN6" s="22">
        <f>IF(AND($AB6&lt;&gt;"",$C14=TRUE),$AB6,IF(AND($AD6&lt;&gt;"",$C13&lt;&gt;TRUE),$AD6,""))</f>
        <v>640</v>
      </c>
      <c r="AO6" s="23">
        <f>IF(AND($AC6&lt;&gt;"",$C14=TRUE),$AC8+('Cross-sections'!$D$23-'Cross-sections'!$D$19)+('Cross-sections'!$D$20-'Cross-sections'!$D$19),IF(AND($AE6&lt;&gt;"",$C3&lt;&gt;TRUE),$AE8+('Cross-sections'!$D$23-'Cross-sections'!$D$19)+('Cross-sections'!$D$20-'Cross-sections'!$D$19),""))</f>
        <v>1005</v>
      </c>
      <c r="AP6" s="22">
        <f>IF(AND($AF6&lt;&gt;"",$C14=TRUE),$AF6,IF(AND($AH6&lt;&gt;"",$C13&lt;&gt;TRUE),$AH6,""))</f>
        <v>1250</v>
      </c>
      <c r="AQ6" s="23">
        <f>IF(AND($AG6&lt;&gt;"",$C14=TRUE),$AG8+('Cross-sections'!$D$23-'Cross-sections'!$D$19)+('Cross-sections'!$D$20-'Cross-sections'!$D$19),IF(AND($AI6&lt;&gt;"",$C13&lt;&gt;TRUE),$AI8+('Cross-sections'!$D$23-'Cross-sections'!$D$19)+('Cross-sections'!$D$20-'Cross-sections'!$D$19),""))</f>
        <v>1005</v>
      </c>
      <c r="AR6" s="22">
        <f>IF(AND($X6&lt;&gt;"",$C14=TRUE),$X6,IF(AND($Z6&lt;&gt;"",$C13&lt;&gt;TRUE),$Z6,""))</f>
        <v>30</v>
      </c>
      <c r="AS6" s="23">
        <f>IF(AND($Y6&lt;&gt;"",$C14=TRUE),$W$6-('Cross-sections'!$D$20-'Cross-sections'!$D$19),IF(AND($AA6&lt;&gt;"",$C13&lt;&gt;TRUE),$W$6-('Cross-sections'!$D$20-'Cross-sections'!$D$19),""))</f>
        <v>-5</v>
      </c>
      <c r="AT6" s="22">
        <f>IF(AND($AB6&lt;&gt;"",$C14=TRUE),$AB6,IF(AND($AD6&lt;&gt;"",$C13&lt;&gt;TRUE),$AD6,""))</f>
        <v>640</v>
      </c>
      <c r="AU6" s="23">
        <f>IF(AND($AC6&lt;&gt;"",$C14=TRUE),$W$6-('Cross-sections'!$D$20-'Cross-sections'!$D$19),IF(AND($AE6&lt;&gt;"",$C13&lt;&gt;TRUE),$W$6-('Cross-sections'!$D$20-'Cross-sections'!$D$19),""))</f>
        <v>-5</v>
      </c>
      <c r="AV6" s="22">
        <f>IF(AND($AF6&lt;&gt;"",$C14=TRUE),$AF6,IF(AND($AH6&lt;&gt;"",$C13&lt;&gt;TRUE),$AH6,""))</f>
        <v>1250</v>
      </c>
      <c r="AW6" s="23">
        <f>IF(AND($AG6&lt;&gt;"",$C14=TRUE),$W$6-('Cross-sections'!$D$20-'Cross-sections'!$D$19),IF(AND($AI6&lt;&gt;"",$C13&lt;&gt;TRUE),$W$6-('Cross-sections'!$D$20-'Cross-sections'!$D$19),""))</f>
        <v>-5</v>
      </c>
      <c r="AX6" s="18"/>
      <c r="AY6" s="18"/>
      <c r="AZ6" s="22">
        <f>AX4</f>
        <v>0</v>
      </c>
      <c r="BA6" s="29">
        <f>AY4</f>
        <v>-1000</v>
      </c>
      <c r="BB6" s="22">
        <f>IF(AND($C12&gt;0,$C14=TRUE,$C12&lt;4),IF($C10="INNER",AZ6+('Cross-sections'!$D$5-'Cross-sections'!$D$3),AZ6+('Cross-sections'!$D$13-'Cross-sections'!$D$11)),"")</f>
        <v>30</v>
      </c>
      <c r="BC6" s="29">
        <f>IF(AND($C12&gt;0,$C14=TRUE,$C12&lt;4),BA6+'Cross-sections'!$D$23-'Cross-sections'!$D$19,"")</f>
        <v>-970</v>
      </c>
      <c r="BD6" s="29" t="str">
        <f>IF(AND($C12&gt;0,$C14&lt;&gt;TRUE,$C12&lt;4,$C13=TRUE),IF($C10="INNER",AZ6+('Cross-sections'!$D$5-'Cross-sections'!$D$3),AZ6+('Cross-sections'!$D$13-'Cross-sections'!$D$11)),"")</f>
        <v/>
      </c>
      <c r="BE6" s="29" t="str">
        <f>IF(AND($C12&gt;0,$C14&lt;&gt;TRUE,$C12&lt;4,$C15=TRUE),IF($C10="INNER",AZ6+('Cross-sections'!$D$5-'Cross-sections'!$D$3),AZ6+('Cross-sections'!$D$13-'Cross-sections'!$D$11)),"")</f>
        <v/>
      </c>
      <c r="BF6" s="29" t="str">
        <f>IF(AND($C12&gt;0,$C14&lt;&gt;TRUE,$C12&lt;4,$C13=TRUE),BA6+'Cross-sections'!$D$23-'Cross-sections'!$D$19,"")</f>
        <v/>
      </c>
      <c r="BG6" s="23" t="str">
        <f>IF(AND($C12&gt;0,$C14&lt;&gt;TRUE,$C12&lt;4,$C15=TRUE),BA6+'Cross-sections'!$D$23-'Cross-sections'!$D$19,"")</f>
        <v/>
      </c>
      <c r="BH6" s="22">
        <f>IF(AND($C12&gt;1,$C14=TRUE,$C12&lt;4),BB7+('Cross-sections'!$D$33-'Cross-sections'!$D$27*2),"")</f>
        <v>640</v>
      </c>
      <c r="BI6" s="29">
        <f>IF(AND($C12&gt;1,$C14=TRUE),BC6,"")</f>
        <v>-970</v>
      </c>
      <c r="BJ6" s="29" t="str">
        <f>IF(AND($C12&gt;1,$C14&lt;&gt;TRUE,$C12&lt;4,$C13=TRUE),BD7+('Cross-sections'!$D$33-'Cross-sections'!$D$27*2),"")</f>
        <v/>
      </c>
      <c r="BK6" s="29" t="str">
        <f>IF(AND($C12&gt;1,$C14&lt;&gt;TRUE,$C12&lt;4,$C15=TRUE),BE7+('Cross-sections'!$D$33-'Cross-sections'!$D$27*2),"")</f>
        <v/>
      </c>
      <c r="BL6" s="29" t="str">
        <f>IF(AND($C12&gt;1,$C14&lt;&gt;TRUE,$C13=TRUE),BF6,"")</f>
        <v/>
      </c>
      <c r="BM6" s="23" t="str">
        <f>IF(AND($C12&gt;1,$C14&lt;&gt;TRUE,$C15=TRUE),BG6,"")</f>
        <v/>
      </c>
      <c r="BN6" s="22">
        <f>IF(AND($C12&gt;2,$C14=TRUE,$C12&lt;4),BH7+('Cross-sections'!$D$33-'Cross-sections'!$D$27*2),"")</f>
        <v>1250</v>
      </c>
      <c r="BO6" s="29">
        <f>IF(AND($C12&gt;2,$C14=TRUE),BI6,"")</f>
        <v>-970</v>
      </c>
      <c r="BP6" s="29" t="str">
        <f>IF(AND($C12&gt;2,$C14&lt;&gt;TRUE,$C12&lt;4,$C13=TRUE),BJ7+('Cross-sections'!$D$33-'Cross-sections'!$D$27*2),"")</f>
        <v/>
      </c>
      <c r="BQ6" s="29" t="str">
        <f>IF(AND($C12&gt;2,$C14&lt;&gt;TRUE,$C12&lt;4,$C15=TRUE),BK7+('Cross-sections'!$D$33-'Cross-sections'!$D$27*2),"")</f>
        <v/>
      </c>
      <c r="BR6" s="29" t="str">
        <f>IF(AND($C12&gt;2,$C14&lt;&gt;TRUE,$C13=TRUE),BL6,"")</f>
        <v/>
      </c>
      <c r="BS6" s="23" t="str">
        <f>IF(AND($C12&gt;2,$C14&lt;&gt;TRUE,$C15=TRUE),BM6,"")</f>
        <v/>
      </c>
      <c r="BT6" s="12" t="str">
        <f>IF($C10="OUTER",AZ6,"")</f>
        <v/>
      </c>
      <c r="BU6" s="13" t="str">
        <f>IF($C10="OUTER",BA6,"")</f>
        <v/>
      </c>
      <c r="BV6" s="22">
        <f>IF(AND($BB6&lt;&gt;"",$C13=TRUE),$BB6,IF(AND($BD6&lt;&gt;"",$C13=TRUE),$BD6,""))</f>
        <v>30</v>
      </c>
      <c r="BW6" s="23">
        <f>IF(AND($BC6&lt;&gt;"",$C13=TRUE),$BC8+('Cross-sections'!$D$23-'Cross-sections'!$D$19)+('Cross-sections'!$D$20-'Cross-sections'!$D$19),IF(AND($BF6&lt;&gt;"",$C13=TRUE),$BF8+('Cross-sections'!$D$23-'Cross-sections'!$D$19)+('Cross-sections'!$D$20-'Cross-sections'!$D$19),""))</f>
        <v>-495</v>
      </c>
      <c r="BX6" s="22">
        <f>IF(AND($BH6&lt;&gt;"",$C13=TRUE),$BH6,IF(AND($BJ6&lt;&gt;"",$C13=TRUE),$BJ6,""))</f>
        <v>640</v>
      </c>
      <c r="BY6" s="23">
        <f>IF(AND($BI6&lt;&gt;"",$C13=TRUE),$BI8+('Cross-sections'!$D$23-'Cross-sections'!$D$19)+('Cross-sections'!$D$20-'Cross-sections'!$D$19),IF(AND($BL6&lt;&gt;"",$C13=TRUE),$BL8+('Cross-sections'!$D$23-'Cross-sections'!$D$19)+('Cross-sections'!$D$20-'Cross-sections'!$D$19),""))</f>
        <v>-495</v>
      </c>
      <c r="BZ6" s="22">
        <f>IF(AND($BN6&lt;&gt;"",$C13=TRUE),$BN6,IF(AND($BP6&lt;&gt;"",$C13=TRUE),$BP6,""))</f>
        <v>1250</v>
      </c>
      <c r="CA6" s="23">
        <f>IF(AND($BO6&lt;&gt;"",$C13=TRUE),$BO8+('Cross-sections'!$D$23-'Cross-sections'!$D$19)+('Cross-sections'!$D$20-'Cross-sections'!$D$19),IF(AND($BR6&lt;&gt;"",$C13=TRUE),$BR8+('Cross-sections'!$D$23-'Cross-sections'!$D$19)+('Cross-sections'!$D$20-'Cross-sections'!$D$19),""))</f>
        <v>-495</v>
      </c>
      <c r="CB6" s="22">
        <f>IF(AND($BB6&lt;&gt;"",$C15=TRUE,$C14=TRUE),$BB6,IF(AND($BD6&lt;&gt;"",$C15=TRUE,$C14&lt;&gt;TRUE),$BD6,IF(AND($BE6&lt;&gt;"",$C15=TRUE),$BE6,"")))</f>
        <v>30</v>
      </c>
      <c r="CC6" s="23">
        <f>IF(AND($BC6&lt;&gt;"",$C15=TRUE),$BA6-('Cross-sections'!$D$20-'Cross-sections'!$D$19),IF(AND($BF6&lt;&gt;"",$C15=TRUE),$BA6-('Cross-sections'!$D$20-'Cross-sections'!$D$19),IF(AND($BG6&lt;&gt;"",$C15=TRUE),$BA6-('Cross-sections'!$D$20-'Cross-sections'!$D$19),"")))</f>
        <v>-1005</v>
      </c>
      <c r="CD6" s="22">
        <f>IF(AND($BH6&lt;&gt;"",$C15=TRUE),$BH6,IF(AND($BJ6&lt;&gt;"",$C15=TRUE),$BJ6,IF(AND($BK6&lt;&gt;"",$C15=TRUE),$BK6,"")))</f>
        <v>640</v>
      </c>
      <c r="CE6" s="23">
        <f>IF(AND($BI6&lt;&gt;"",$C15=TRUE),$BA6-('Cross-sections'!$D$20-'Cross-sections'!$D$19),IF(AND($BL6&lt;&gt;"",$C15=TRUE),$BA6-('Cross-sections'!$D$20-'Cross-sections'!$D$19),IF(AND($BM6&lt;&gt;"",$C15=TRUE),$BA6-('Cross-sections'!$D$20-'Cross-sections'!$D$19),"")))</f>
        <v>-1005</v>
      </c>
      <c r="CF6" s="22">
        <f>IF(AND($BN6&lt;&gt;"",$C15=TRUE),$BN6,IF(AND($BP6&lt;&gt;"",$C15=TRUE),$BP6,IF(AND($BQ6&lt;&gt;"",$C15=TRUE),$BQ6,"")))</f>
        <v>1250</v>
      </c>
      <c r="CG6" s="23">
        <f>IF(AND($BO6&lt;&gt;"",$C15=TRUE),$BA6-('Cross-sections'!$D$20-'Cross-sections'!$D$19),IF(AND($BR6&lt;&gt;"",$C15=TRUE),$BA6-('Cross-sections'!$D$20-'Cross-sections'!$D$19),IF(AND($BS6&lt;&gt;"",$C15=TRUE),$BA6-('Cross-sections'!$D$20-'Cross-sections'!$D$19),"")))</f>
        <v>-1005</v>
      </c>
      <c r="CH6" s="18"/>
      <c r="CI6" s="18"/>
      <c r="CJ6" s="22">
        <f>CH4</f>
        <v>2130</v>
      </c>
      <c r="CK6" s="23">
        <f>CI4</f>
        <v>-1000</v>
      </c>
      <c r="CL6" s="22">
        <f>IF($C10="INNER",CJ6+$C11,CJ6-$C11)</f>
        <v>2180</v>
      </c>
      <c r="CM6" s="23">
        <f>IF($C10="INNER",CK6+$C11,CK6-$C11)</f>
        <v>-950</v>
      </c>
      <c r="CN6" s="22">
        <f>(IF(AND($C10="INNER",$C14=TRUE),$CJ6-('Cross-sections'!$D$20-'Cross-sections'!$D$19),""))</f>
        <v>2125</v>
      </c>
      <c r="CO6" s="29">
        <f>(IF(AND($C10="INNER",$C14=TRUE),$CK8-('Cross-sections'!$D$23-'Cross-sections'!$D$19),""))</f>
        <v>-530</v>
      </c>
      <c r="CP6" s="22">
        <f>(IF(AND($C10="INNER",$C14=TRUE),$CJ8+('Cross-sections'!$D$20-'Cross-sections'!$D$19),""))</f>
        <v>3135</v>
      </c>
      <c r="CQ6" s="23">
        <f>(IF(AND($C10="INNER",$C14=TRUE),$CK8-('Cross-sections'!$D$23-'Cross-sections'!$D$19),""))</f>
        <v>-530</v>
      </c>
      <c r="CR6" s="18">
        <f>IF(AND($C10="INNER",$C13=TRUE),CJ6+'Cross-sections'!$D$23-$C6,"")</f>
        <v>2177</v>
      </c>
      <c r="CS6" s="21">
        <f>IF(AND($C10="INNER",$C13=TRUE),$CK8,"")</f>
        <v>-500</v>
      </c>
      <c r="CT6" s="18"/>
      <c r="CU6" s="18"/>
    </row>
    <row r="7" spans="1:99" ht="34.950000000000003" customHeight="1" x14ac:dyDescent="0.3">
      <c r="A7" s="87"/>
      <c r="B7" s="10" t="s">
        <v>0</v>
      </c>
      <c r="C7" s="14">
        <v>1000</v>
      </c>
      <c r="T7" s="33"/>
      <c r="U7" s="33"/>
      <c r="V7" s="12">
        <f>$C9+V6</f>
        <v>1830</v>
      </c>
      <c r="W7" s="13">
        <f>W6</f>
        <v>0</v>
      </c>
      <c r="X7" s="12">
        <f>IF(AND($C12=1,$C13=TRUE),(V6+V7-X6)/$C12,IF(AND($C12=2,$C13=TRUE),(V7+V6-('Cross-sections'!$D$33-'Cross-sections'!$D$27*2)*($C12-1))/$C12,IF(AND($C12=3,$C13=TRUE),(V7+V6+X6-('Cross-sections'!$D$33-'Cross-sections'!$D$27*2)*($C12-1))/$C12,"")))</f>
        <v>580</v>
      </c>
      <c r="Y7" s="21">
        <f>Y6</f>
        <v>30</v>
      </c>
      <c r="Z7" s="21">
        <f>IF(AND($C12=1,$C14=TRUE),(V6+V7-Z6)/$C12,IF(AND($C12=2,$C14=TRUE),(V7+V6-('Cross-sections'!$D$33-'Cross-sections'!$D$27*2)*($C12-1))/$C12,IF(AND($C12=3,$C14=TRUE),(V7+V6+Z6-('Cross-sections'!$D$33-'Cross-sections'!$D$27*2)*($C12-1))/$C12,"")))</f>
        <v>580</v>
      </c>
      <c r="AA7" s="13">
        <f>AA6</f>
        <v>30</v>
      </c>
      <c r="AB7" s="12">
        <f>IF(AND($C12&gt;1,$C13=TRUE,$C12&lt;4),AB6+(X7-X6),"")</f>
        <v>1190</v>
      </c>
      <c r="AC7" s="21">
        <f>AC6</f>
        <v>30</v>
      </c>
      <c r="AD7" s="21">
        <f>IF(AND($C12&gt;1,$C14=TRUE,$C12&lt;4),AD6+(Z7-Z6),"")</f>
        <v>1190</v>
      </c>
      <c r="AE7" s="13">
        <f>AE6</f>
        <v>30</v>
      </c>
      <c r="AF7" s="12">
        <f>IF(AND($C12&gt;2,$C13=TRUE,$C12&lt;4),AF6+(AB7-AB6),"")</f>
        <v>1800</v>
      </c>
      <c r="AG7" s="21">
        <f>AG6</f>
        <v>30</v>
      </c>
      <c r="AH7" s="21">
        <f>IF(AND($C12&gt;2,$C14=TRUE,$C12&lt;4),AH6+(AD7-AD6),"")</f>
        <v>1800</v>
      </c>
      <c r="AI7" s="13">
        <f>AI6</f>
        <v>30</v>
      </c>
      <c r="AJ7" s="12" t="str">
        <f>AJ6</f>
        <v/>
      </c>
      <c r="AK7" s="13" t="str">
        <f>IF($C10="OUTER",AK6-$C11,"")</f>
        <v/>
      </c>
      <c r="AL7" s="12">
        <f>AL6</f>
        <v>30</v>
      </c>
      <c r="AM7" s="13">
        <f>IF(AND($Y6&lt;&gt;"",$C14=TRUE),AM6+'Cross-sections'!$D$19,IF(AND($AA6&lt;&gt;"",$C13&lt;&gt;TRUE),AM6+'Cross-sections'!$D$19,""))</f>
        <v>1025</v>
      </c>
      <c r="AN7" s="12">
        <f t="shared" ref="AN7" si="0">AN6</f>
        <v>640</v>
      </c>
      <c r="AO7" s="13">
        <f>IF(AND($AC6&lt;&gt;"",$C14=TRUE),AO6+'Cross-sections'!$D$19,IF(AND($AE6&lt;&gt;"",$C13&lt;&gt;TRUE),AO6+'Cross-sections'!$D$19,""))</f>
        <v>1025</v>
      </c>
      <c r="AP7" s="12">
        <f t="shared" ref="AP7" si="1">AP6</f>
        <v>1250</v>
      </c>
      <c r="AQ7" s="13">
        <f>IF(AND($AG6&lt;&gt;"",$C14=TRUE),AQ6+'Cross-sections'!$D$19,IF(AND($AI6&lt;&gt;"",$C13&lt;&gt;TRUE),AQ6+'Cross-sections'!$D$19,""))</f>
        <v>1025</v>
      </c>
      <c r="AR7" s="12">
        <f>AR6</f>
        <v>30</v>
      </c>
      <c r="AS7" s="13">
        <f>IF(AND($Y6&lt;&gt;"",$C14=TRUE),AS6-'Cross-sections'!$D$19,IF(AND($AA6&lt;&gt;"",$C13&lt;&gt;TRUE),AS6-'Cross-sections'!$D$19,""))</f>
        <v>-25</v>
      </c>
      <c r="AT7" s="12">
        <f t="shared" ref="AT7" si="2">AT6</f>
        <v>640</v>
      </c>
      <c r="AU7" s="13">
        <f>IF(AND($AC6&lt;&gt;"",$C14=TRUE),AU6-'Cross-sections'!$D$19,IF(AND($AE6&lt;&gt;"",$C13&lt;&gt;TRUE),AU6-'Cross-sections'!$D$19,""))</f>
        <v>-25</v>
      </c>
      <c r="AV7" s="12">
        <f t="shared" ref="AV7" si="3">AV6</f>
        <v>1250</v>
      </c>
      <c r="AW7" s="13">
        <f>IF(AND($AG6&lt;&gt;"",$C14=TRUE),AW6-'Cross-sections'!$D$19,IF(AND($AI6&lt;&gt;"",$C13&lt;&gt;TRUE),AW6-'Cross-sections'!$D$19,""))</f>
        <v>-25</v>
      </c>
      <c r="AX7" s="18"/>
      <c r="AY7" s="18"/>
      <c r="AZ7" s="12">
        <f>$C9+AZ6</f>
        <v>1830</v>
      </c>
      <c r="BA7" s="21">
        <f>BA6</f>
        <v>-1000</v>
      </c>
      <c r="BB7" s="12">
        <f>IF(AND($C12=1,$C14=TRUE),(AZ6+AZ7-BB6)/$C12,IF(AND($C12=2,$C14=TRUE),(AZ7+AZ6-('Cross-sections'!$D$33-'Cross-sections'!$D$27*2)*($C12-1))/$C12,IF(AND($C12=3,$C14=TRUE),(AZ7+AZ6+BB6-('Cross-sections'!$D$33-'Cross-sections'!$D$27*2)*($C12-1))/$C12,"")))</f>
        <v>580</v>
      </c>
      <c r="BC7" s="21">
        <f>BC6</f>
        <v>-970</v>
      </c>
      <c r="BD7" s="21" t="str">
        <f>IF(AND($C12=1,$C14&lt;&gt;TRUE,$C13=TRUE),(AZ6+AZ7-BD6)/$C12,IF(AND($C12=2,$C14&lt;&gt;TRUE,$C13=TRUE),(AZ7+AZ6-('Cross-sections'!$D$33-'Cross-sections'!$D$27*2)*($C12-1))/$C12,IF(AND($C12=3,$C14&lt;&gt;TRUE,$C13=TRUE),(AZ7+AZ6+BD6-('Cross-sections'!$D$33-'Cross-sections'!$D$27*2)*($C12-1))/$C12,"")))</f>
        <v/>
      </c>
      <c r="BE7" s="21" t="str">
        <f>IF(AND($C12=1,$C14&lt;&gt;TRUE,$C15=TRUE),(AZ6+AZ7-BE6)/$C12,IF(AND($C12=2,$C14&lt;&gt;TRUE,$C15=TRUE),(AZ7+AZ6-('Cross-sections'!$D$33-'Cross-sections'!$D$27*2)*($C12-1))/$C12,IF(AND($C12=3,$C14&lt;&gt;TRUE,$C15=TRUE),(AZ7+AZ6+BE6-('Cross-sections'!$D$33-'Cross-sections'!$D$27*2)*($C12-1))/$C12,"")))</f>
        <v/>
      </c>
      <c r="BF7" s="21" t="str">
        <f>BF6</f>
        <v/>
      </c>
      <c r="BG7" s="13" t="str">
        <f>BG6</f>
        <v/>
      </c>
      <c r="BH7" s="12">
        <f>IF(AND($C12&gt;1,$C14=TRUE,$C12&lt;4),BH6+(BB7-BB6),"")</f>
        <v>1190</v>
      </c>
      <c r="BI7" s="21">
        <f>BI6</f>
        <v>-970</v>
      </c>
      <c r="BJ7" s="21" t="str">
        <f>IF(AND($C12&gt;1,$C14&lt;&gt;TRUE,$C12&lt;4,$C13=TRUE),BJ6+(BD7-BD6),"")</f>
        <v/>
      </c>
      <c r="BK7" s="21" t="str">
        <f>IF(AND($C12&gt;1,$C14&lt;&gt;TRUE,$C12&lt;4,$C15=TRUE),BK6+(BE7-BE6),"")</f>
        <v/>
      </c>
      <c r="BL7" s="21" t="str">
        <f>BL6</f>
        <v/>
      </c>
      <c r="BM7" s="13" t="str">
        <f>BM6</f>
        <v/>
      </c>
      <c r="BN7" s="12">
        <f>IF(AND($C12&gt;2,$C14=TRUE,$C12&lt;4),BN6+(BH7-BH6),"")</f>
        <v>1800</v>
      </c>
      <c r="BO7" s="21">
        <f>BO6</f>
        <v>-970</v>
      </c>
      <c r="BP7" s="21" t="str">
        <f>IF(AND($C12&gt;2,$C14&lt;&gt;TRUE,$C12&lt;4,$C13=TRUE),BP6+(BJ7-BJ6),"")</f>
        <v/>
      </c>
      <c r="BQ7" s="21" t="str">
        <f>IF(AND($C12&gt;2,$C14&lt;&gt;TRUE,$C12&lt;4,$C15=TRUE),BQ6+(BK7-BK6),"")</f>
        <v/>
      </c>
      <c r="BR7" s="21" t="str">
        <f>BR6</f>
        <v/>
      </c>
      <c r="BS7" s="13" t="str">
        <f>BS6</f>
        <v/>
      </c>
      <c r="BT7" s="12" t="str">
        <f>BT6</f>
        <v/>
      </c>
      <c r="BU7" s="13" t="str">
        <f>IF($C10="OUTER",BU6-$C11,"")</f>
        <v/>
      </c>
      <c r="BV7" s="12">
        <f>BV6</f>
        <v>30</v>
      </c>
      <c r="BW7" s="13">
        <f>IF(AND($BC6&lt;&gt;"",$C13=TRUE),BW6+'Cross-sections'!$D$19,IF(AND($BF6&lt;&gt;"",$C13=TRUE),BW6+'Cross-sections'!$D$19,""))</f>
        <v>-475</v>
      </c>
      <c r="BX7" s="12">
        <f t="shared" ref="BX7" si="4">BX6</f>
        <v>640</v>
      </c>
      <c r="BY7" s="13">
        <f>IF(AND($BI6&lt;&gt;"",$C13=TRUE),BY6+'Cross-sections'!$D$19,IF(AND($BL6&lt;&gt;"",$C13=TRUE),BY6+'Cross-sections'!$D$19,""))</f>
        <v>-475</v>
      </c>
      <c r="BZ7" s="12">
        <f t="shared" ref="BZ7" si="5">BZ6</f>
        <v>1250</v>
      </c>
      <c r="CA7" s="13">
        <f>IF(AND($BO6&lt;&gt;"",$C13=TRUE),CA6+'Cross-sections'!$D$19,IF(AND($BR6&lt;&gt;"",$C13=TRUE),CA6+'Cross-sections'!$D$19,""))</f>
        <v>-475</v>
      </c>
      <c r="CB7" s="12">
        <f>CB6</f>
        <v>30</v>
      </c>
      <c r="CC7" s="13">
        <f>IF(AND($BC6&lt;&gt;"",$C15=TRUE),CC6-'Cross-sections'!$D$19,IF(AND($BF6&lt;&gt;"",$C15=TRUE),CC6-'Cross-sections'!$D$19,IF(AND($BG6&lt;&gt;"",$C15=TRUE),CC6-'Cross-sections'!$D$19,"")))</f>
        <v>-1025</v>
      </c>
      <c r="CD7" s="12">
        <f t="shared" ref="CD7" si="6">CD6</f>
        <v>640</v>
      </c>
      <c r="CE7" s="13">
        <f>IF(AND($BI6&lt;&gt;"",$C15=TRUE),CE6-'Cross-sections'!$D$19,IF(AND($BL6&lt;&gt;"",$C15=TRUE),CE6-'Cross-sections'!$D$19,IF(AND($BM6&lt;&gt;"",$C15=TRUE),CE6-'Cross-sections'!$D$19,"")))</f>
        <v>-1025</v>
      </c>
      <c r="CF7" s="12">
        <f t="shared" ref="CF7" si="7">CF6</f>
        <v>1250</v>
      </c>
      <c r="CG7" s="13">
        <f>IF(AND($BO6&lt;&gt;"",$C15=TRUE),CG6-'Cross-sections'!$D$19,IF(AND($BR6&lt;&gt;"",$C15=TRUE),CG6-'Cross-sections'!$D$19,IF(AND($BS6&lt;&gt;"",$C15=TRUE),CG6-'Cross-sections'!$D$19,"")))</f>
        <v>-1025</v>
      </c>
      <c r="CH7" s="18"/>
      <c r="CI7" s="18"/>
      <c r="CJ7" s="12">
        <f>$C7+CJ6</f>
        <v>3130</v>
      </c>
      <c r="CK7" s="13">
        <f>CK6</f>
        <v>-1000</v>
      </c>
      <c r="CL7" s="12">
        <f>IF($C10="INNER",CJ7-$C11,CJ7+$C11)</f>
        <v>3080</v>
      </c>
      <c r="CM7" s="13">
        <f>CM6</f>
        <v>-950</v>
      </c>
      <c r="CN7" s="12">
        <f>(IF(AND($C10="INNER",$C14=TRUE),CN6-'Cross-sections'!$D$19,""))</f>
        <v>2105</v>
      </c>
      <c r="CO7" s="21">
        <f>CO6</f>
        <v>-530</v>
      </c>
      <c r="CP7" s="12">
        <f>(IF(AND($C10="INNER",$C14=TRUE),CP6+'Cross-sections'!$D$19,""))</f>
        <v>3155</v>
      </c>
      <c r="CQ7" s="13">
        <f>CQ6</f>
        <v>-530</v>
      </c>
      <c r="CR7" s="18">
        <f>CR6</f>
        <v>2177</v>
      </c>
      <c r="CS7" s="21">
        <f>IF(CS6&lt;&gt;"",CS6+'Cross-sections'!$D$20-$C6,"")</f>
        <v>-478</v>
      </c>
      <c r="CT7" s="18"/>
      <c r="CU7" s="18"/>
    </row>
    <row r="8" spans="1:99" ht="34.950000000000003" customHeight="1" x14ac:dyDescent="0.3">
      <c r="A8" s="87"/>
      <c r="B8" s="10" t="s">
        <v>1</v>
      </c>
      <c r="C8" s="14">
        <v>500</v>
      </c>
      <c r="T8" s="33"/>
      <c r="U8" s="33"/>
      <c r="V8" s="12">
        <f>V7</f>
        <v>1830</v>
      </c>
      <c r="W8" s="13">
        <f>$C7+W6</f>
        <v>1000</v>
      </c>
      <c r="X8" s="12">
        <f>X7</f>
        <v>580</v>
      </c>
      <c r="Y8" s="21">
        <f>IF(AND($C12&gt;0,$C13=TRUE,$C12&lt;4),W8-('Cross-sections'!$D$23-'Cross-sections'!$D$19),"")</f>
        <v>970</v>
      </c>
      <c r="Z8" s="21">
        <f>Z7</f>
        <v>580</v>
      </c>
      <c r="AA8" s="13">
        <f>IF(AND($C12&gt;0,$C14=TRUE,$C12&lt;4),W8-('Cross-sections'!$D$23-'Cross-sections'!$D$19),"")</f>
        <v>970</v>
      </c>
      <c r="AB8" s="12">
        <f>AB7</f>
        <v>1190</v>
      </c>
      <c r="AC8" s="21">
        <f>IF(AND($C12&gt;1,$C13=TRUE,$C12&lt;4),W8-('Cross-sections'!$D$23-'Cross-sections'!$D$19),"")</f>
        <v>970</v>
      </c>
      <c r="AD8" s="21">
        <f>AD7</f>
        <v>1190</v>
      </c>
      <c r="AE8" s="13">
        <f>IF(AND($C12&gt;1,$C14=TRUE,$C12&lt;4),W8-('Cross-sections'!$D$23-'Cross-sections'!$D$19),"")</f>
        <v>970</v>
      </c>
      <c r="AF8" s="12">
        <f>AF7</f>
        <v>1800</v>
      </c>
      <c r="AG8" s="21">
        <f>IF(AND($C12&gt;2,$C13=TRUE,$C12&lt;4),W8-('Cross-sections'!$D$23-'Cross-sections'!$D$19),"")</f>
        <v>970</v>
      </c>
      <c r="AH8" s="21">
        <f>AH7</f>
        <v>1800</v>
      </c>
      <c r="AI8" s="13">
        <f>IF(AND($C12&gt;2,$C14=TRUE,$C12&lt;4),W8-('Cross-sections'!$D$23-'Cross-sections'!$D$19),"")</f>
        <v>970</v>
      </c>
      <c r="AJ8" s="12" t="str">
        <f>AJ7</f>
        <v/>
      </c>
      <c r="AK8" s="13" t="str">
        <f>IF($C10="OUTER",AK7+$C11,"")</f>
        <v/>
      </c>
      <c r="AL8" s="12">
        <f>IF(AND($X6&lt;&gt;"",$C14=TRUE),$X7,IF(AND($Z6&lt;&gt;"",$C13&lt;&gt;TRUE),$Z7,""))</f>
        <v>580</v>
      </c>
      <c r="AM8" s="13">
        <f>AM7</f>
        <v>1025</v>
      </c>
      <c r="AN8" s="12">
        <f>IF(AND($AB6&lt;&gt;"",$C14=TRUE),$AB7,IF(AND($AD6&lt;&gt;"",$C13&lt;&gt;TRUE),$AD7,""))</f>
        <v>1190</v>
      </c>
      <c r="AO8" s="13">
        <f t="shared" ref="AO8" si="8">AO7</f>
        <v>1025</v>
      </c>
      <c r="AP8" s="12">
        <f>IF(AND($AF6&lt;&gt;"",$C14=TRUE),$AF7,IF(AND($AH6&lt;&gt;"",$C13&lt;&gt;TRUE),$AH7,""))</f>
        <v>1800</v>
      </c>
      <c r="AQ8" s="13">
        <f t="shared" ref="AQ8" si="9">AQ7</f>
        <v>1025</v>
      </c>
      <c r="AR8" s="12">
        <f>IF(AND($X6&lt;&gt;"",$C14=TRUE),$X7,IF(AND($Z6&lt;&gt;"",$C13&lt;&gt;TRUE),$Z7,""))</f>
        <v>580</v>
      </c>
      <c r="AS8" s="13">
        <f>AS7</f>
        <v>-25</v>
      </c>
      <c r="AT8" s="12">
        <f>IF(AND($AB6&lt;&gt;"",$C14=TRUE),$AB7,IF(AND($AD6&lt;&gt;"",$C13&lt;&gt;TRUE),$AD7,""))</f>
        <v>1190</v>
      </c>
      <c r="AU8" s="13">
        <f t="shared" ref="AU8" si="10">AU7</f>
        <v>-25</v>
      </c>
      <c r="AV8" s="12">
        <f>IF(AND($AF6&lt;&gt;"",$C14=TRUE),$AF7,IF(AND($AH6&lt;&gt;"",$C13&lt;&gt;TRUE),$AH7,""))</f>
        <v>1800</v>
      </c>
      <c r="AW8" s="13">
        <f t="shared" ref="AW8" si="11">AW7</f>
        <v>-25</v>
      </c>
      <c r="AX8" s="18"/>
      <c r="AY8" s="18"/>
      <c r="AZ8" s="12">
        <f>AZ7</f>
        <v>1830</v>
      </c>
      <c r="BA8" s="21">
        <f>$C8+BA6</f>
        <v>-500</v>
      </c>
      <c r="BB8" s="12">
        <f>BB7</f>
        <v>580</v>
      </c>
      <c r="BC8" s="21">
        <f>IF(AND($C12&gt;0,$C14=TRUE,$C12&lt;4),BA8-('Cross-sections'!$D$23-'Cross-sections'!$D$19),"")</f>
        <v>-530</v>
      </c>
      <c r="BD8" s="21" t="str">
        <f>BD7</f>
        <v/>
      </c>
      <c r="BE8" s="21" t="str">
        <f>BE7</f>
        <v/>
      </c>
      <c r="BF8" s="21" t="str">
        <f>IF(AND($C12&gt;0,$C14&lt;&gt;TRUE,$C12&lt;4,$C13=TRUE),BA8-('Cross-sections'!$D$23-'Cross-sections'!$D$19),"")</f>
        <v/>
      </c>
      <c r="BG8" s="13" t="str">
        <f>IF(AND($C12&gt;0,$C14&lt;&gt;TRUE,$C12&lt;4,$C15=TRUE),BA8-('Cross-sections'!$D$23-'Cross-sections'!$D$19),"")</f>
        <v/>
      </c>
      <c r="BH8" s="12">
        <f>BH7</f>
        <v>1190</v>
      </c>
      <c r="BI8" s="21">
        <f>IF(AND($C12&gt;1,$C14=TRUE,$C12&lt;4),BA8-('Cross-sections'!$D$23-'Cross-sections'!$D$19),"")</f>
        <v>-530</v>
      </c>
      <c r="BJ8" s="21" t="str">
        <f>BJ7</f>
        <v/>
      </c>
      <c r="BK8" s="21" t="str">
        <f>BK7</f>
        <v/>
      </c>
      <c r="BL8" s="21" t="str">
        <f>IF(AND($C12&gt;1,$C14&lt;&gt;TRUE,$C12&lt;4,$C13=TRUE),BA8-('Cross-sections'!$D$23-'Cross-sections'!$D$19),"")</f>
        <v/>
      </c>
      <c r="BM8" s="13" t="str">
        <f>IF(AND($C12&gt;1,$C14&lt;&gt;TRUE,$C12&lt;4,$C15=TRUE),BA8-('Cross-sections'!$D$23-'Cross-sections'!$D$19),"")</f>
        <v/>
      </c>
      <c r="BN8" s="12">
        <f>BN7</f>
        <v>1800</v>
      </c>
      <c r="BO8" s="21">
        <f>IF(AND($C12&gt;2,$C14=TRUE,$C12&lt;4),BA8-('Cross-sections'!$D$23-'Cross-sections'!$D$19),"")</f>
        <v>-530</v>
      </c>
      <c r="BP8" s="21" t="str">
        <f>BP7</f>
        <v/>
      </c>
      <c r="BQ8" s="21" t="str">
        <f>BQ7</f>
        <v/>
      </c>
      <c r="BR8" s="21" t="str">
        <f>IF(AND($C12&gt;2,$C14&lt;&gt;TRUE,$C12&lt;4,$C13=TRUE),BA8-('Cross-sections'!$D$23-'Cross-sections'!$D$19),"")</f>
        <v/>
      </c>
      <c r="BS8" s="13" t="str">
        <f>IF(AND($C12&gt;2,$C14&lt;&gt;TRUE,$C12&lt;4,$C15=TRUE),BA8-('Cross-sections'!$D$23-'Cross-sections'!$D$19),"")</f>
        <v/>
      </c>
      <c r="BT8" s="12" t="str">
        <f>BT7</f>
        <v/>
      </c>
      <c r="BU8" s="13" t="str">
        <f>IF($C10="OUTER",BU7+$C11,"")</f>
        <v/>
      </c>
      <c r="BV8" s="12">
        <f>IF(AND($BB6&lt;&gt;"",$C13=TRUE),$BB7,IF(AND($BD6&lt;&gt;"",$C13=TRUE),$BD7,""))</f>
        <v>580</v>
      </c>
      <c r="BW8" s="13">
        <f>BW7</f>
        <v>-475</v>
      </c>
      <c r="BX8" s="12">
        <f>IF(AND($BH6&lt;&gt;"",$C13=TRUE),$BH7,IF(AND($BJ6&lt;&gt;"",$C13=TRUE),$BJ7,""))</f>
        <v>1190</v>
      </c>
      <c r="BY8" s="13">
        <f t="shared" ref="BY8" si="12">BY7</f>
        <v>-475</v>
      </c>
      <c r="BZ8" s="12">
        <f>IF(AND($BN6&lt;&gt;"",$C13=TRUE),$BN7,IF(AND($BP6&lt;&gt;"",$C13=TRUE),$BP7,""))</f>
        <v>1800</v>
      </c>
      <c r="CA8" s="13">
        <f t="shared" ref="CA8" si="13">CA7</f>
        <v>-475</v>
      </c>
      <c r="CB8" s="12">
        <f>IF(AND($BB6&lt;&gt;"",$C15=TRUE),$BB7,IF(AND($BD6&lt;&gt;"",$C15=TRUE),$BD7,IF(AND($BE6&lt;&gt;"",$C15=TRUE),$BE7,"")))</f>
        <v>580</v>
      </c>
      <c r="CC8" s="13">
        <f>CC7</f>
        <v>-1025</v>
      </c>
      <c r="CD8" s="12">
        <f>IF(AND($BH6&lt;&gt;"",$C15=TRUE),$BH7,IF(AND($BJ6&lt;&gt;"",$C15=TRUE),$BJ7,IF(AND($BK6&lt;&gt;"",$C15=TRUE),$BK7,"")))</f>
        <v>1190</v>
      </c>
      <c r="CE8" s="13">
        <f t="shared" ref="CE8" si="14">CE7</f>
        <v>-1025</v>
      </c>
      <c r="CF8" s="12">
        <f>IF(AND($BN6&lt;&gt;"",$C15=TRUE),$BN7,IF(AND($BP6&lt;&gt;"",$C15=TRUE),$BP7,IF(AND($BQ6&lt;&gt;"",$C15=TRUE),$BQ7,"")))</f>
        <v>1800</v>
      </c>
      <c r="CG8" s="13">
        <f t="shared" ref="CG8" si="15">CG7</f>
        <v>-1025</v>
      </c>
      <c r="CH8" s="18"/>
      <c r="CI8" s="18"/>
      <c r="CJ8" s="12">
        <f>CJ7</f>
        <v>3130</v>
      </c>
      <c r="CK8" s="13">
        <f>$C8+CK6</f>
        <v>-500</v>
      </c>
      <c r="CL8" s="12">
        <f>IF($C10="INNER",CJ8-$C11,CJ8+$C11)</f>
        <v>3080</v>
      </c>
      <c r="CM8" s="13">
        <f>IF($C10="INNER",CM7+$C8-$C11*2,CM7+$C8+$C11*2)</f>
        <v>-550</v>
      </c>
      <c r="CN8" s="12">
        <f>CN7</f>
        <v>2105</v>
      </c>
      <c r="CO8" s="21">
        <f>(IF(AND($C10="INNER",$C14=TRUE),$BC$6,""))</f>
        <v>-970</v>
      </c>
      <c r="CP8" s="12">
        <f>CP7</f>
        <v>3155</v>
      </c>
      <c r="CQ8" s="13">
        <f>(IF(AND($C10="INNER",$C14=TRUE),$BC$6,""))</f>
        <v>-970</v>
      </c>
      <c r="CR8" s="21">
        <f>IF(CR6&lt;&gt;"",CR6-'Cross-sections'!$D$19-$C6,"")</f>
        <v>2154</v>
      </c>
      <c r="CS8" s="21">
        <f>CS7</f>
        <v>-478</v>
      </c>
      <c r="CT8" s="18"/>
      <c r="CU8" s="18"/>
    </row>
    <row r="9" spans="1:99" ht="34.950000000000003" customHeight="1" x14ac:dyDescent="0.3">
      <c r="A9" s="88"/>
      <c r="B9" s="10" t="s">
        <v>17</v>
      </c>
      <c r="C9" s="14">
        <v>1830</v>
      </c>
      <c r="T9" s="33"/>
      <c r="U9" s="33"/>
      <c r="V9" s="12">
        <f>V8-$C9</f>
        <v>0</v>
      </c>
      <c r="W9" s="13">
        <f>W8</f>
        <v>1000</v>
      </c>
      <c r="X9" s="12">
        <f>X6</f>
        <v>30</v>
      </c>
      <c r="Y9" s="21">
        <f>Y8</f>
        <v>970</v>
      </c>
      <c r="Z9" s="21">
        <f>Z6</f>
        <v>30</v>
      </c>
      <c r="AA9" s="13">
        <f>AA8</f>
        <v>970</v>
      </c>
      <c r="AB9" s="12">
        <f>AB6</f>
        <v>640</v>
      </c>
      <c r="AC9" s="21">
        <f>AC8</f>
        <v>970</v>
      </c>
      <c r="AD9" s="21">
        <f>AD6</f>
        <v>640</v>
      </c>
      <c r="AE9" s="13">
        <f>AE8</f>
        <v>970</v>
      </c>
      <c r="AF9" s="12">
        <f>AF6</f>
        <v>1250</v>
      </c>
      <c r="AG9" s="21">
        <f>AG8</f>
        <v>970</v>
      </c>
      <c r="AH9" s="21">
        <f>AH6</f>
        <v>1250</v>
      </c>
      <c r="AI9" s="13">
        <f>AI8</f>
        <v>970</v>
      </c>
      <c r="AJ9" s="12" t="str">
        <f>IF($C10="OUTER",V7,"")</f>
        <v/>
      </c>
      <c r="AK9" s="13" t="str">
        <f>AK8</f>
        <v/>
      </c>
      <c r="AL9" s="12">
        <f>AL8</f>
        <v>580</v>
      </c>
      <c r="AM9" s="13">
        <f>AM6</f>
        <v>1005</v>
      </c>
      <c r="AN9" s="12">
        <f t="shared" ref="AN9" si="16">AN8</f>
        <v>1190</v>
      </c>
      <c r="AO9" s="13">
        <f t="shared" ref="AO9" si="17">AO6</f>
        <v>1005</v>
      </c>
      <c r="AP9" s="12">
        <f t="shared" ref="AP9" si="18">AP8</f>
        <v>1800</v>
      </c>
      <c r="AQ9" s="13">
        <f t="shared" ref="AQ9" si="19">AQ6</f>
        <v>1005</v>
      </c>
      <c r="AR9" s="12">
        <f>AR8</f>
        <v>580</v>
      </c>
      <c r="AS9" s="13">
        <f>AS6</f>
        <v>-5</v>
      </c>
      <c r="AT9" s="12">
        <f t="shared" ref="AT9" si="20">AT8</f>
        <v>1190</v>
      </c>
      <c r="AU9" s="13">
        <f t="shared" ref="AU9" si="21">AU6</f>
        <v>-5</v>
      </c>
      <c r="AV9" s="12">
        <f t="shared" ref="AV9" si="22">AV8</f>
        <v>1800</v>
      </c>
      <c r="AW9" s="13">
        <f t="shared" ref="AW9" si="23">AW6</f>
        <v>-5</v>
      </c>
      <c r="AX9" s="18"/>
      <c r="AY9" s="18"/>
      <c r="AZ9" s="12">
        <f>AZ8-$C9</f>
        <v>0</v>
      </c>
      <c r="BA9" s="21">
        <f>BA8</f>
        <v>-500</v>
      </c>
      <c r="BB9" s="12">
        <f>BB6</f>
        <v>30</v>
      </c>
      <c r="BC9" s="21">
        <f>BC8</f>
        <v>-530</v>
      </c>
      <c r="BD9" s="21" t="str">
        <f>BD6</f>
        <v/>
      </c>
      <c r="BE9" s="21" t="str">
        <f>BE6</f>
        <v/>
      </c>
      <c r="BF9" s="21" t="str">
        <f>BF8</f>
        <v/>
      </c>
      <c r="BG9" s="13" t="str">
        <f>BG8</f>
        <v/>
      </c>
      <c r="BH9" s="12">
        <f>BH6</f>
        <v>640</v>
      </c>
      <c r="BI9" s="21">
        <f>BI8</f>
        <v>-530</v>
      </c>
      <c r="BJ9" s="21" t="str">
        <f>BJ6</f>
        <v/>
      </c>
      <c r="BK9" s="21" t="str">
        <f>BK6</f>
        <v/>
      </c>
      <c r="BL9" s="21" t="str">
        <f>BL8</f>
        <v/>
      </c>
      <c r="BM9" s="13" t="str">
        <f>BM8</f>
        <v/>
      </c>
      <c r="BN9" s="12">
        <f>BN6</f>
        <v>1250</v>
      </c>
      <c r="BO9" s="21">
        <f>BO8</f>
        <v>-530</v>
      </c>
      <c r="BP9" s="21" t="str">
        <f>BP6</f>
        <v/>
      </c>
      <c r="BQ9" s="21" t="str">
        <f>BQ6</f>
        <v/>
      </c>
      <c r="BR9" s="21" t="str">
        <f>BR8</f>
        <v/>
      </c>
      <c r="BS9" s="13" t="str">
        <f>BS8</f>
        <v/>
      </c>
      <c r="BT9" s="12" t="str">
        <f>IF($C10="OUTER",AZ7,"")</f>
        <v/>
      </c>
      <c r="BU9" s="13" t="str">
        <f>BU8</f>
        <v/>
      </c>
      <c r="BV9" s="12">
        <f>BV8</f>
        <v>580</v>
      </c>
      <c r="BW9" s="13">
        <f>BW6</f>
        <v>-495</v>
      </c>
      <c r="BX9" s="12">
        <f t="shared" ref="BX9" si="24">BX8</f>
        <v>1190</v>
      </c>
      <c r="BY9" s="13">
        <f t="shared" ref="BY9" si="25">BY6</f>
        <v>-495</v>
      </c>
      <c r="BZ9" s="12">
        <f t="shared" ref="BZ9" si="26">BZ8</f>
        <v>1800</v>
      </c>
      <c r="CA9" s="13">
        <f t="shared" ref="CA9" si="27">CA6</f>
        <v>-495</v>
      </c>
      <c r="CB9" s="12">
        <f>CB8</f>
        <v>580</v>
      </c>
      <c r="CC9" s="13">
        <f>CC6</f>
        <v>-1005</v>
      </c>
      <c r="CD9" s="12">
        <f t="shared" ref="CD9" si="28">CD8</f>
        <v>1190</v>
      </c>
      <c r="CE9" s="13">
        <f t="shared" ref="CE9" si="29">CE6</f>
        <v>-1005</v>
      </c>
      <c r="CF9" s="12">
        <f t="shared" ref="CF9" si="30">CF8</f>
        <v>1800</v>
      </c>
      <c r="CG9" s="13">
        <f t="shared" ref="CG9" si="31">CG6</f>
        <v>-1005</v>
      </c>
      <c r="CH9" s="18"/>
      <c r="CI9" s="18"/>
      <c r="CJ9" s="12">
        <f>CJ8-$C7</f>
        <v>2130</v>
      </c>
      <c r="CK9" s="13">
        <f>CK8</f>
        <v>-500</v>
      </c>
      <c r="CL9" s="12">
        <f>CL6</f>
        <v>2180</v>
      </c>
      <c r="CM9" s="13">
        <f>CM8</f>
        <v>-550</v>
      </c>
      <c r="CN9" s="12">
        <f>CN6</f>
        <v>2125</v>
      </c>
      <c r="CO9" s="21">
        <f>CO8</f>
        <v>-970</v>
      </c>
      <c r="CP9" s="12">
        <f>CP6</f>
        <v>3135</v>
      </c>
      <c r="CQ9" s="13">
        <f>CQ8</f>
        <v>-970</v>
      </c>
      <c r="CR9" s="21">
        <f>CR8</f>
        <v>2154</v>
      </c>
      <c r="CS9" s="21">
        <f>IF(CS6&lt;&gt;"",CS8+$C6,"")</f>
        <v>-475</v>
      </c>
      <c r="CT9" s="18"/>
      <c r="CU9" s="18"/>
    </row>
    <row r="10" spans="1:99" ht="34.950000000000003" customHeight="1" x14ac:dyDescent="0.3">
      <c r="A10" s="85" t="s">
        <v>22</v>
      </c>
      <c r="B10" s="10" t="s">
        <v>23</v>
      </c>
      <c r="C10" s="15" t="s">
        <v>63</v>
      </c>
      <c r="T10" s="33"/>
      <c r="U10" s="33"/>
      <c r="V10" s="24">
        <f>V6</f>
        <v>0</v>
      </c>
      <c r="W10" s="25">
        <f>W6</f>
        <v>0</v>
      </c>
      <c r="X10" s="24">
        <f t="shared" ref="X10:Y10" si="32">X6</f>
        <v>30</v>
      </c>
      <c r="Y10" s="30">
        <f t="shared" si="32"/>
        <v>30</v>
      </c>
      <c r="Z10" s="30">
        <f>Z6</f>
        <v>30</v>
      </c>
      <c r="AA10" s="25">
        <f>AA6</f>
        <v>30</v>
      </c>
      <c r="AB10" s="24">
        <f t="shared" ref="AB10:AC10" si="33">AB6</f>
        <v>640</v>
      </c>
      <c r="AC10" s="30">
        <f t="shared" si="33"/>
        <v>30</v>
      </c>
      <c r="AD10" s="30">
        <f>AD9</f>
        <v>640</v>
      </c>
      <c r="AE10" s="25">
        <f>AE6</f>
        <v>30</v>
      </c>
      <c r="AF10" s="24">
        <f>AF6</f>
        <v>1250</v>
      </c>
      <c r="AG10" s="30">
        <f t="shared" ref="AG10" si="34">AG6</f>
        <v>30</v>
      </c>
      <c r="AH10" s="30">
        <f>AH9</f>
        <v>1250</v>
      </c>
      <c r="AI10" s="25">
        <f>AI6</f>
        <v>30</v>
      </c>
      <c r="AJ10" s="12" t="str">
        <f>AJ9</f>
        <v/>
      </c>
      <c r="AK10" s="13" t="str">
        <f>IF($C10="OUTER",AK9-$C11,"")</f>
        <v/>
      </c>
      <c r="AL10" s="12">
        <f>IF(AND($X6&lt;&gt;"",$C14=TRUE),AL9-'Cross-sections'!$D$19,IF(AND($Z6&lt;&gt;"",$C13&lt;&gt;TRUE),AL9-'Cross-sections'!$D$19,""))</f>
        <v>560</v>
      </c>
      <c r="AM10" s="13">
        <f>AM9</f>
        <v>1005</v>
      </c>
      <c r="AN10" s="12">
        <f>IF(AND($AB6&lt;&gt;"",$C14=TRUE),AN9-'Cross-sections'!$D$19,IF(AND($AD6&lt;&gt;"",$C13&lt;&gt;TRUE),AN9-'Cross-sections'!$D$19,""))</f>
        <v>1170</v>
      </c>
      <c r="AO10" s="13">
        <f t="shared" ref="AO10" si="35">AO9</f>
        <v>1005</v>
      </c>
      <c r="AP10" s="12">
        <f>IF(AND($AF6&lt;&gt;"",$C14=TRUE),AP9-'Cross-sections'!$D$19,IF(AND($AH6&lt;&gt;"",$C13&lt;&gt;TRUE),AP9-'Cross-sections'!$D$19,""))</f>
        <v>1780</v>
      </c>
      <c r="AQ10" s="13">
        <f t="shared" ref="AQ10" si="36">AQ9</f>
        <v>1005</v>
      </c>
      <c r="AR10" s="12">
        <f>IF(AND($X6&lt;&gt;"",$C14=TRUE),AR9-'Cross-sections'!$D$19,IF(AND($Z6&lt;&gt;"",$C13&lt;&gt;TRUE),AR9-'Cross-sections'!$D$19,""))</f>
        <v>560</v>
      </c>
      <c r="AS10" s="13">
        <f>AS9</f>
        <v>-5</v>
      </c>
      <c r="AT10" s="12">
        <f>IF(AND($AB6&lt;&gt;"",$C14=TRUE),AT9-'Cross-sections'!$D$19,IF(AND($AD6&lt;&gt;"",$C13&lt;&gt;TRUE),AT9-'Cross-sections'!$D$19,""))</f>
        <v>1170</v>
      </c>
      <c r="AU10" s="13">
        <f t="shared" ref="AU10" si="37">AU9</f>
        <v>-5</v>
      </c>
      <c r="AV10" s="12">
        <f>IF(AND($AF6&lt;&gt;"",$C14=TRUE),AV9-'Cross-sections'!$D$19,IF(AND($AH6&lt;&gt;"",$C13&lt;&gt;TRUE),AV9-'Cross-sections'!$D$19,""))</f>
        <v>1780</v>
      </c>
      <c r="AW10" s="13">
        <f t="shared" ref="AW10" si="38">AW9</f>
        <v>-5</v>
      </c>
      <c r="AX10" s="18"/>
      <c r="AY10" s="18"/>
      <c r="AZ10" s="24">
        <f>AZ6</f>
        <v>0</v>
      </c>
      <c r="BA10" s="30">
        <f>BA6</f>
        <v>-1000</v>
      </c>
      <c r="BB10" s="24">
        <f t="shared" ref="BB10:BI10" si="39">BB6</f>
        <v>30</v>
      </c>
      <c r="BC10" s="30">
        <f t="shared" si="39"/>
        <v>-970</v>
      </c>
      <c r="BD10" s="30" t="str">
        <f>BD6</f>
        <v/>
      </c>
      <c r="BE10" s="30" t="str">
        <f>BE6</f>
        <v/>
      </c>
      <c r="BF10" s="30" t="str">
        <f>BF6</f>
        <v/>
      </c>
      <c r="BG10" s="25" t="str">
        <f>BG6</f>
        <v/>
      </c>
      <c r="BH10" s="24">
        <f t="shared" si="39"/>
        <v>640</v>
      </c>
      <c r="BI10" s="30">
        <f t="shared" si="39"/>
        <v>-970</v>
      </c>
      <c r="BJ10" s="30" t="str">
        <f>BJ9</f>
        <v/>
      </c>
      <c r="BK10" s="30" t="str">
        <f>BK6</f>
        <v/>
      </c>
      <c r="BL10" s="30" t="str">
        <f t="shared" ref="BL10:BS10" si="40">BL6</f>
        <v/>
      </c>
      <c r="BM10" s="25" t="str">
        <f t="shared" si="40"/>
        <v/>
      </c>
      <c r="BN10" s="24">
        <f t="shared" si="40"/>
        <v>1250</v>
      </c>
      <c r="BO10" s="30">
        <f t="shared" si="40"/>
        <v>-970</v>
      </c>
      <c r="BP10" s="30" t="str">
        <f>BP6</f>
        <v/>
      </c>
      <c r="BQ10" s="30" t="str">
        <f>BQ6</f>
        <v/>
      </c>
      <c r="BR10" s="30" t="str">
        <f t="shared" si="40"/>
        <v/>
      </c>
      <c r="BS10" s="25" t="str">
        <f t="shared" si="40"/>
        <v/>
      </c>
      <c r="BT10" s="12" t="str">
        <f>BT9</f>
        <v/>
      </c>
      <c r="BU10" s="13" t="str">
        <f>IF($C10="OUTER",BU9-$C11,"")</f>
        <v/>
      </c>
      <c r="BV10" s="12">
        <f>IF(AND($BB6&lt;&gt;"",$C13=TRUE),BV9-'Cross-sections'!$D$19,IF(AND($BD6&lt;&gt;"",$C13=TRUE),BV9-'Cross-sections'!$D$19,""))</f>
        <v>560</v>
      </c>
      <c r="BW10" s="13">
        <f>BW9</f>
        <v>-495</v>
      </c>
      <c r="BX10" s="12">
        <f>IF(AND($BH6&lt;&gt;"",$C13=TRUE),BX9-'Cross-sections'!$D$19,IF(AND($BJ6&lt;&gt;"",$C13=TRUE),BX9-'Cross-sections'!$D$19,""))</f>
        <v>1170</v>
      </c>
      <c r="BY10" s="13">
        <f t="shared" ref="BY10" si="41">BY9</f>
        <v>-495</v>
      </c>
      <c r="BZ10" s="12">
        <f>IF(AND($BN6&lt;&gt;"",$C13=TRUE),BZ9-'Cross-sections'!$D$19,IF(AND($BP6&lt;&gt;"",$C13=TRUE),BZ9-'Cross-sections'!$D$19,""))</f>
        <v>1780</v>
      </c>
      <c r="CA10" s="13">
        <f t="shared" ref="CA10" si="42">CA9</f>
        <v>-495</v>
      </c>
      <c r="CB10" s="12">
        <f>IF(AND($BB6&lt;&gt;"",$C15=TRUE),CB9-'Cross-sections'!$D$19,IF(AND($BD6&lt;&gt;"",$C15=TRUE),CB9-'Cross-sections'!$D$19,IF(AND($BE6&lt;&gt;"",$C15=TRUE),CB9-'Cross-sections'!$D$19,"")))</f>
        <v>560</v>
      </c>
      <c r="CC10" s="13">
        <f>CC9</f>
        <v>-1005</v>
      </c>
      <c r="CD10" s="12">
        <f>IF(AND($BH6&lt;&gt;"",$C15=TRUE),CD9-'Cross-sections'!$D$19,IF(AND($BJ6&lt;&gt;"",$C15=TRUE),CD9-'Cross-sections'!$D$19,IF(AND($BK6&lt;&gt;"",$C15=TRUE),CD9-'Cross-sections'!$D$19,"")))</f>
        <v>1170</v>
      </c>
      <c r="CE10" s="13">
        <f t="shared" ref="CE10" si="43">CE9</f>
        <v>-1005</v>
      </c>
      <c r="CF10" s="12">
        <f>IF(AND($BN6&lt;&gt;"",$C15=TRUE),CF9-'Cross-sections'!$D$19,IF(AND($BP6&lt;&gt;"",$C15=TRUE),CF9-'Cross-sections'!$D$19,IF(AND($BQ6&lt;&gt;"",$C15=TRUE),CF9-'Cross-sections'!$D$19,"")))</f>
        <v>1780</v>
      </c>
      <c r="CG10" s="13">
        <f t="shared" ref="CG10" si="44">CG9</f>
        <v>-1005</v>
      </c>
      <c r="CH10" s="18"/>
      <c r="CI10" s="18"/>
      <c r="CJ10" s="24">
        <f>CJ6</f>
        <v>2130</v>
      </c>
      <c r="CK10" s="25">
        <f>CK6</f>
        <v>-1000</v>
      </c>
      <c r="CL10" s="24">
        <f>CL6</f>
        <v>2180</v>
      </c>
      <c r="CM10" s="25">
        <f>CM6</f>
        <v>-950</v>
      </c>
      <c r="CN10" s="24">
        <f t="shared" ref="CN10:CO10" si="45">CN6</f>
        <v>2125</v>
      </c>
      <c r="CO10" s="30">
        <f t="shared" si="45"/>
        <v>-530</v>
      </c>
      <c r="CP10" s="24">
        <f t="shared" ref="CP10:CQ10" si="46">CP6</f>
        <v>3135</v>
      </c>
      <c r="CQ10" s="25">
        <f t="shared" si="46"/>
        <v>-530</v>
      </c>
      <c r="CR10" s="21">
        <f>IF(CR6&lt;&gt;"",CR7+$C6,"")</f>
        <v>2180</v>
      </c>
      <c r="CS10" s="21">
        <f>CS9</f>
        <v>-475</v>
      </c>
      <c r="CT10" s="18"/>
      <c r="CU10" s="18"/>
    </row>
    <row r="11" spans="1:99" ht="34.950000000000003" customHeight="1" x14ac:dyDescent="0.3">
      <c r="A11" s="85"/>
      <c r="B11" s="10" t="s">
        <v>24</v>
      </c>
      <c r="C11" s="14">
        <v>50</v>
      </c>
      <c r="T11" s="33"/>
      <c r="U11" s="33"/>
      <c r="AJ11" s="12" t="str">
        <f>AJ10</f>
        <v/>
      </c>
      <c r="AK11" s="19" t="str">
        <f>IF($C10="OUTER",AK10+$C7+$C11*2,"")</f>
        <v/>
      </c>
      <c r="AL11" s="12">
        <f>AL10</f>
        <v>560</v>
      </c>
      <c r="AM11" s="19">
        <f>IF(AND($Y6&lt;&gt;"",$C14=TRUE),$W$8,IF(AND($AA6&lt;&gt;"",$C13&lt;&gt;TRUE),$W$8,""))</f>
        <v>1000</v>
      </c>
      <c r="AN11" s="12">
        <f t="shared" ref="AN11:AN12" si="47">AN10</f>
        <v>1170</v>
      </c>
      <c r="AO11" s="19">
        <f>IF(AND($AC6&lt;&gt;"",$C14=TRUE),$W$8,IF(AND($AE6&lt;&gt;"",$C13&lt;&gt;TRUE),$W$8,""))</f>
        <v>1000</v>
      </c>
      <c r="AP11" s="12">
        <f t="shared" ref="AP11:AP12" si="48">AP10</f>
        <v>1780</v>
      </c>
      <c r="AQ11" s="19">
        <f>IF(AND($AG6&lt;&gt;"",$C14=TRUE),$W$8,IF(AND($AI6&lt;&gt;"",$C13&lt;&gt;TRUE),$W$8,""))</f>
        <v>1000</v>
      </c>
      <c r="AR11" s="12">
        <f>AR10</f>
        <v>560</v>
      </c>
      <c r="AS11" s="19">
        <f>IF(AND($Y6&lt;&gt;"",$C14=TRUE),$W$6,IF(AND($AA6&lt;&gt;"",$C13&lt;&gt;TRUE),$W$6,""))</f>
        <v>0</v>
      </c>
      <c r="AT11" s="12">
        <f t="shared" ref="AT11:AT12" si="49">AT10</f>
        <v>1170</v>
      </c>
      <c r="AU11" s="19">
        <f>IF(AND($AC6&lt;&gt;"",$C14=TRUE),$W$6,IF(AND($AE6&lt;&gt;"",$C13&lt;&gt;TRUE),$W$6,""))</f>
        <v>0</v>
      </c>
      <c r="AV11" s="12">
        <f t="shared" ref="AV11:AV12" si="50">AV10</f>
        <v>1780</v>
      </c>
      <c r="AW11" s="19">
        <f>IF(AND($AG6&lt;&gt;"",$C14=TRUE),$W$6,IF(AND($AI6&lt;&gt;"",$C13&lt;&gt;TRUE),$W$6,""))</f>
        <v>0</v>
      </c>
      <c r="BT11" s="12" t="str">
        <f>BT10</f>
        <v/>
      </c>
      <c r="BU11" s="19" t="str">
        <f>IF($C10="OUTER",BU10+$C8+$C11*2,"")</f>
        <v/>
      </c>
      <c r="BV11" s="12">
        <f>BV10</f>
        <v>560</v>
      </c>
      <c r="BW11" s="19">
        <f>IF(AND($BC6&lt;&gt;"",$C13=TRUE),$BA$8,IF(AND($BF6&lt;&gt;"",$C13=TRUE),$BA$8,""))</f>
        <v>-500</v>
      </c>
      <c r="BX11" s="12">
        <f t="shared" ref="BX11:BX12" si="51">BX10</f>
        <v>1170</v>
      </c>
      <c r="BY11" s="19">
        <f>IF(AND($BI6&lt;&gt;"",$C13=TRUE),$BA$8,IF(AND($BL6&lt;&gt;"",$C13=TRUE),$BA$8,""))</f>
        <v>-500</v>
      </c>
      <c r="BZ11" s="12">
        <f t="shared" ref="BZ11:BZ12" si="52">BZ10</f>
        <v>1780</v>
      </c>
      <c r="CA11" s="19">
        <f>IF(AND($BO6&lt;&gt;"",$C13=TRUE),$BA$8,IF(AND($BR6&lt;&gt;"",$C13=TRUE),$BA$8,""))</f>
        <v>-500</v>
      </c>
      <c r="CB11" s="12">
        <f>CB10</f>
        <v>560</v>
      </c>
      <c r="CC11" s="19">
        <f>IF(AND($BC6&lt;&gt;"",$C15=TRUE),$BA$6,IF(AND($BF6&lt;&gt;"",$C15=TRUE),$BA$6,IF(AND($BG6&lt;&gt;"",$C15=TRUE),$BA$6,"")))</f>
        <v>-1000</v>
      </c>
      <c r="CD11" s="12">
        <f t="shared" ref="CD11:CD12" si="53">CD10</f>
        <v>1170</v>
      </c>
      <c r="CE11" s="19">
        <f>IF(AND($BI6&lt;&gt;"",$C15=TRUE),$BA$6,IF(AND($BL6&lt;&gt;"",$C15=TRUE),$BA$6,IF(AND($BM6&lt;&gt;"",$C15=TRUE),$BA$6,"")))</f>
        <v>-1000</v>
      </c>
      <c r="CF11" s="12">
        <f t="shared" ref="CF11:CF12" si="54">CF10</f>
        <v>1780</v>
      </c>
      <c r="CG11" s="19">
        <f>IF(AND($BO6&lt;&gt;"",$C15=TRUE),$BA$6,IF(AND($BR6&lt;&gt;"",$C15=TRUE),$BA$6,IF(AND($BS6&lt;&gt;"",$C15=TRUE),$BA$6,"")))</f>
        <v>-1000</v>
      </c>
      <c r="CR11" s="11">
        <f>CR10</f>
        <v>2180</v>
      </c>
      <c r="CS11" s="11">
        <f>CS6</f>
        <v>-500</v>
      </c>
    </row>
    <row r="12" spans="1:99" ht="34.950000000000003" customHeight="1" x14ac:dyDescent="0.3">
      <c r="A12" s="85" t="s">
        <v>43</v>
      </c>
      <c r="B12" s="10" t="s">
        <v>42</v>
      </c>
      <c r="C12" s="17">
        <v>3</v>
      </c>
      <c r="D12" s="9">
        <v>2</v>
      </c>
      <c r="T12" s="33"/>
      <c r="U12" s="33"/>
      <c r="AJ12" s="12" t="str">
        <f>AJ11</f>
        <v/>
      </c>
      <c r="AK12" s="19" t="str">
        <f>IF($C10="OUTER",AK11-$C11,"")</f>
        <v/>
      </c>
      <c r="AL12" s="12">
        <f>AL11</f>
        <v>560</v>
      </c>
      <c r="AM12" s="13">
        <f>AM10</f>
        <v>1005</v>
      </c>
      <c r="AN12" s="12">
        <f t="shared" si="47"/>
        <v>1170</v>
      </c>
      <c r="AO12" s="13">
        <f t="shared" ref="AO12" si="55">AO10</f>
        <v>1005</v>
      </c>
      <c r="AP12" s="12">
        <f t="shared" si="48"/>
        <v>1780</v>
      </c>
      <c r="AQ12" s="13">
        <f t="shared" ref="AQ12" si="56">AQ10</f>
        <v>1005</v>
      </c>
      <c r="AR12" s="12">
        <f>AR11</f>
        <v>560</v>
      </c>
      <c r="AS12" s="13">
        <f>AS10</f>
        <v>-5</v>
      </c>
      <c r="AT12" s="12">
        <f t="shared" si="49"/>
        <v>1170</v>
      </c>
      <c r="AU12" s="13">
        <f t="shared" ref="AU12" si="57">AU10</f>
        <v>-5</v>
      </c>
      <c r="AV12" s="12">
        <f t="shared" si="50"/>
        <v>1780</v>
      </c>
      <c r="AW12" s="13">
        <f t="shared" ref="AW12" si="58">AW10</f>
        <v>-5</v>
      </c>
      <c r="BT12" s="12" t="str">
        <f>BT11</f>
        <v/>
      </c>
      <c r="BU12" s="19" t="str">
        <f>IF($C10="OUTER",BU11-$C11,"")</f>
        <v/>
      </c>
      <c r="BV12" s="12">
        <f>BV11</f>
        <v>560</v>
      </c>
      <c r="BW12" s="13">
        <f>BW10</f>
        <v>-495</v>
      </c>
      <c r="BX12" s="12">
        <f t="shared" si="51"/>
        <v>1170</v>
      </c>
      <c r="BY12" s="13">
        <f t="shared" ref="BY12" si="59">BY10</f>
        <v>-495</v>
      </c>
      <c r="BZ12" s="12">
        <f t="shared" si="52"/>
        <v>1780</v>
      </c>
      <c r="CA12" s="13">
        <f t="shared" ref="CA12" si="60">CA10</f>
        <v>-495</v>
      </c>
      <c r="CB12" s="12">
        <f>CB11</f>
        <v>560</v>
      </c>
      <c r="CC12" s="13">
        <f>CC10</f>
        <v>-1005</v>
      </c>
      <c r="CD12" s="12">
        <f t="shared" si="53"/>
        <v>1170</v>
      </c>
      <c r="CE12" s="13">
        <f t="shared" ref="CE12" si="61">CE10</f>
        <v>-1005</v>
      </c>
      <c r="CF12" s="12">
        <f t="shared" si="54"/>
        <v>1780</v>
      </c>
      <c r="CG12" s="13">
        <f t="shared" ref="CG12" si="62">CG10</f>
        <v>-1005</v>
      </c>
      <c r="CR12" s="9">
        <f>IF(CR6&lt;&gt;"",CJ8-'Cross-sections'!$D$23+$C6,"")</f>
        <v>3083</v>
      </c>
      <c r="CS12" s="11">
        <f>CS11</f>
        <v>-500</v>
      </c>
    </row>
    <row r="13" spans="1:99" ht="34.950000000000003" customHeight="1" x14ac:dyDescent="0.3">
      <c r="A13" s="85"/>
      <c r="B13" s="10" t="s">
        <v>37</v>
      </c>
      <c r="C13" s="17" t="b">
        <v>1</v>
      </c>
      <c r="T13" s="33"/>
      <c r="U13" s="33"/>
      <c r="AJ13" s="12" t="str">
        <f>AJ6</f>
        <v/>
      </c>
      <c r="AK13" s="19" t="str">
        <f>AK12</f>
        <v/>
      </c>
      <c r="AL13" s="12">
        <f>IF(AND($X6&lt;&gt;"",$C14=TRUE),AL6+'Cross-sections'!$D$19,IF(AND($Z6&lt;&gt;"",$C13&lt;&gt;TRUE),AL6+'Cross-sections'!$D$19,""))</f>
        <v>50</v>
      </c>
      <c r="AM13" s="13">
        <f>AM12</f>
        <v>1005</v>
      </c>
      <c r="AN13" s="12">
        <f>IF(AND($AB6&lt;&gt;"",$C14=TRUE),AN6+'Cross-sections'!$D$19,IF(AND($AD6&lt;&gt;"",$C13&lt;&gt;TRUE),AN6+'Cross-sections'!$D$19,""))</f>
        <v>660</v>
      </c>
      <c r="AO13" s="13">
        <f t="shared" ref="AO13" si="63">AO12</f>
        <v>1005</v>
      </c>
      <c r="AP13" s="12">
        <f>IF(AND($AF6&lt;&gt;"",$C14=TRUE),AP6+'Cross-sections'!$D$19,IF(AND($AH6&lt;&gt;"",$C13&lt;&gt;TRUE),AP6+'Cross-sections'!$D$19,""))</f>
        <v>1270</v>
      </c>
      <c r="AQ13" s="13">
        <f t="shared" ref="AQ13" si="64">AQ12</f>
        <v>1005</v>
      </c>
      <c r="AR13" s="12">
        <f>IF(AND($X6&lt;&gt;"",$C14=TRUE),AR6+'Cross-sections'!$D$19,IF(AND($Z6&lt;&gt;"",$C13&lt;&gt;TRUE),AR6+'Cross-sections'!$D$19,""))</f>
        <v>50</v>
      </c>
      <c r="AS13" s="13">
        <f>AS12</f>
        <v>-5</v>
      </c>
      <c r="AT13" s="12">
        <f>IF(AND($AB6&lt;&gt;"",$C14=TRUE),AT6+'Cross-sections'!$D$19,IF(AND($AD6&lt;&gt;"",$C13&lt;&gt;TRUE),AT6+'Cross-sections'!$D$19,""))</f>
        <v>660</v>
      </c>
      <c r="AU13" s="13">
        <f t="shared" ref="AU13" si="65">AU12</f>
        <v>-5</v>
      </c>
      <c r="AV13" s="12">
        <f>IF(AND($AF6&lt;&gt;"",$C14=TRUE),AV6+'Cross-sections'!$D$19,IF(AND($AH6&lt;&gt;"",$C13&lt;&gt;TRUE),AV6+'Cross-sections'!$D$19,""))</f>
        <v>1270</v>
      </c>
      <c r="AW13" s="13">
        <f t="shared" ref="AW13" si="66">AW12</f>
        <v>-5</v>
      </c>
      <c r="BT13" s="12" t="str">
        <f>BT6</f>
        <v/>
      </c>
      <c r="BU13" s="19" t="str">
        <f>BU12</f>
        <v/>
      </c>
      <c r="BV13" s="12">
        <f>IF(AND($BB6&lt;&gt;"",$C13=TRUE),BV6+'Cross-sections'!$D$19,IF(AND($BD6&lt;&gt;"",$C13=TRUE),BV6+'Cross-sections'!$D$19,""))</f>
        <v>50</v>
      </c>
      <c r="BW13" s="13">
        <f>BW12</f>
        <v>-495</v>
      </c>
      <c r="BX13" s="12">
        <f>IF(AND($BH6&lt;&gt;"",$C13=TRUE),BX6+'Cross-sections'!$D$19,IF(AND($BJ6&lt;&gt;"",$C13=TRUE),BX6+'Cross-sections'!$D$19,""))</f>
        <v>660</v>
      </c>
      <c r="BY13" s="13">
        <f t="shared" ref="BY13" si="67">BY12</f>
        <v>-495</v>
      </c>
      <c r="BZ13" s="12">
        <f>IF(AND($BN6&lt;&gt;"",$C13=TRUE),BZ6+'Cross-sections'!$D$19,IF(AND($BP6&lt;&gt;"",$C13=TRUE),BZ6+'Cross-sections'!$D$19,""))</f>
        <v>1270</v>
      </c>
      <c r="CA13" s="13">
        <f t="shared" ref="CA13" si="68">CA12</f>
        <v>-495</v>
      </c>
      <c r="CB13" s="12">
        <f>IF(AND($BB6&lt;&gt;"",$C15=TRUE),CB6+'Cross-sections'!$D$19,IF(AND($BD6&lt;&gt;"",$C15=TRUE),CB6+'Cross-sections'!$D$19,IF(AND($BE6&lt;&gt;"",$C15=TRUE),CB6+'Cross-sections'!$D$19,"")))</f>
        <v>50</v>
      </c>
      <c r="CC13" s="13">
        <f>CC12</f>
        <v>-1005</v>
      </c>
      <c r="CD13" s="12">
        <f>IF(AND($BH6&lt;&gt;"",$C15=TRUE),CD6+'Cross-sections'!$D$19,IF(AND($BJ6&lt;&gt;"",$C15=TRUE),CD6+'Cross-sections'!$D$19,IF(AND($BK6&lt;&gt;"",$C15=TRUE),CD6+'Cross-sections'!$D$19,"")))</f>
        <v>660</v>
      </c>
      <c r="CE13" s="13">
        <f t="shared" ref="CE13" si="69">CE12</f>
        <v>-1005</v>
      </c>
      <c r="CF13" s="12">
        <f>IF(AND($BN6&lt;&gt;"",$C15=TRUE),CF6+'Cross-sections'!$D$19,IF(AND($BP6&lt;&gt;"",$C15=TRUE),CF6+'Cross-sections'!$D$19,IF(AND($BQ6&lt;&gt;"",$C15=TRUE),CF6+'Cross-sections'!$D$19,"")))</f>
        <v>1270</v>
      </c>
      <c r="CG13" s="13">
        <f t="shared" ref="CG13" si="70">CG12</f>
        <v>-1005</v>
      </c>
      <c r="CR13" s="9">
        <f>CR12</f>
        <v>3083</v>
      </c>
      <c r="CS13" s="11">
        <f>CS7</f>
        <v>-478</v>
      </c>
    </row>
    <row r="14" spans="1:99" ht="34.950000000000003" customHeight="1" x14ac:dyDescent="0.3">
      <c r="A14" s="85"/>
      <c r="B14" s="10" t="s">
        <v>38</v>
      </c>
      <c r="C14" s="17" t="b">
        <v>1</v>
      </c>
      <c r="T14" s="33"/>
      <c r="U14" s="33"/>
      <c r="AJ14" s="12" t="str">
        <f>AJ13</f>
        <v/>
      </c>
      <c r="AK14" s="19" t="str">
        <f>IF($C10="OUTER",AK13+$C11,"")</f>
        <v/>
      </c>
      <c r="AL14" s="12">
        <f>AL13</f>
        <v>50</v>
      </c>
      <c r="AM14" s="19">
        <f>AM11</f>
        <v>1000</v>
      </c>
      <c r="AN14" s="12">
        <f t="shared" ref="AN14:AN15" si="71">AN13</f>
        <v>660</v>
      </c>
      <c r="AO14" s="19">
        <f t="shared" ref="AO14" si="72">AO11</f>
        <v>1000</v>
      </c>
      <c r="AP14" s="12">
        <f t="shared" ref="AP14:AP15" si="73">AP13</f>
        <v>1270</v>
      </c>
      <c r="AQ14" s="19">
        <f t="shared" ref="AQ14" si="74">AQ11</f>
        <v>1000</v>
      </c>
      <c r="AR14" s="12">
        <f>AR13</f>
        <v>50</v>
      </c>
      <c r="AS14" s="19">
        <f>AS11</f>
        <v>0</v>
      </c>
      <c r="AT14" s="12">
        <f t="shared" ref="AT14:AT15" si="75">AT13</f>
        <v>660</v>
      </c>
      <c r="AU14" s="19">
        <f t="shared" ref="AU14" si="76">AU11</f>
        <v>0</v>
      </c>
      <c r="AV14" s="12">
        <f t="shared" ref="AV14:AV15" si="77">AV13</f>
        <v>1270</v>
      </c>
      <c r="AW14" s="19">
        <f t="shared" ref="AW14" si="78">AW11</f>
        <v>0</v>
      </c>
      <c r="BT14" s="12" t="str">
        <f>BT13</f>
        <v/>
      </c>
      <c r="BU14" s="19" t="str">
        <f>IF($C10="OUTER",BU13+$C11,"")</f>
        <v/>
      </c>
      <c r="BV14" s="12">
        <f>BV13</f>
        <v>50</v>
      </c>
      <c r="BW14" s="19">
        <f>BW11</f>
        <v>-500</v>
      </c>
      <c r="BX14" s="12">
        <f t="shared" ref="BX14:BX15" si="79">BX13</f>
        <v>660</v>
      </c>
      <c r="BY14" s="19">
        <f t="shared" ref="BY14" si="80">BY11</f>
        <v>-500</v>
      </c>
      <c r="BZ14" s="12">
        <f t="shared" ref="BZ14:BZ15" si="81">BZ13</f>
        <v>1270</v>
      </c>
      <c r="CA14" s="19">
        <f t="shared" ref="CA14" si="82">CA11</f>
        <v>-500</v>
      </c>
      <c r="CB14" s="12">
        <f>CB13</f>
        <v>50</v>
      </c>
      <c r="CC14" s="19">
        <f>CC11</f>
        <v>-1000</v>
      </c>
      <c r="CD14" s="12">
        <f t="shared" ref="CD14:CD15" si="83">CD13</f>
        <v>660</v>
      </c>
      <c r="CE14" s="19">
        <f t="shared" ref="CE14" si="84">CE11</f>
        <v>-1000</v>
      </c>
      <c r="CF14" s="12">
        <f t="shared" ref="CF14:CF15" si="85">CF13</f>
        <v>1270</v>
      </c>
      <c r="CG14" s="19">
        <f t="shared" ref="CG14" si="86">CG11</f>
        <v>-1000</v>
      </c>
      <c r="CR14" s="9">
        <f>IF(CR6&lt;&gt;"",CR13+'Cross-sections'!$D$19-$C6,"")</f>
        <v>3100</v>
      </c>
      <c r="CS14" s="11">
        <f>CS13</f>
        <v>-478</v>
      </c>
    </row>
    <row r="15" spans="1:99" ht="34.950000000000003" customHeight="1" x14ac:dyDescent="0.3">
      <c r="A15" s="85"/>
      <c r="B15" s="10" t="s">
        <v>39</v>
      </c>
      <c r="C15" s="17" t="b">
        <v>1</v>
      </c>
      <c r="T15" s="33"/>
      <c r="U15" s="33"/>
      <c r="AJ15" s="24" t="str">
        <f>AJ14</f>
        <v/>
      </c>
      <c r="AK15" s="26" t="str">
        <f>IF($C10="OUTER",AK14-$C11-$C7,"")</f>
        <v/>
      </c>
      <c r="AL15" s="12">
        <f>AL14</f>
        <v>50</v>
      </c>
      <c r="AM15" s="13">
        <f>AM13</f>
        <v>1005</v>
      </c>
      <c r="AN15" s="12">
        <f t="shared" si="71"/>
        <v>660</v>
      </c>
      <c r="AO15" s="13">
        <f t="shared" ref="AO15" si="87">AO13</f>
        <v>1005</v>
      </c>
      <c r="AP15" s="12">
        <f t="shared" si="73"/>
        <v>1270</v>
      </c>
      <c r="AQ15" s="13">
        <f t="shared" ref="AQ15" si="88">AQ13</f>
        <v>1005</v>
      </c>
      <c r="AR15" s="12">
        <f>AR14</f>
        <v>50</v>
      </c>
      <c r="AS15" s="13">
        <f>AS13</f>
        <v>-5</v>
      </c>
      <c r="AT15" s="12">
        <f t="shared" si="75"/>
        <v>660</v>
      </c>
      <c r="AU15" s="13">
        <f t="shared" ref="AU15" si="89">AU13</f>
        <v>-5</v>
      </c>
      <c r="AV15" s="12">
        <f t="shared" si="77"/>
        <v>1270</v>
      </c>
      <c r="AW15" s="13">
        <f t="shared" ref="AW15" si="90">AW13</f>
        <v>-5</v>
      </c>
      <c r="BT15" s="24" t="str">
        <f>BT14</f>
        <v/>
      </c>
      <c r="BU15" s="26" t="str">
        <f>IF($C10="OUTER",BU14-$C11-$C8,"")</f>
        <v/>
      </c>
      <c r="BV15" s="12">
        <f>BV14</f>
        <v>50</v>
      </c>
      <c r="BW15" s="13">
        <f>BW13</f>
        <v>-495</v>
      </c>
      <c r="BX15" s="12">
        <f t="shared" si="79"/>
        <v>660</v>
      </c>
      <c r="BY15" s="13">
        <f t="shared" ref="BY15" si="91">BY13</f>
        <v>-495</v>
      </c>
      <c r="BZ15" s="12">
        <f t="shared" si="81"/>
        <v>1270</v>
      </c>
      <c r="CA15" s="13">
        <f t="shared" ref="CA15" si="92">CA13</f>
        <v>-495</v>
      </c>
      <c r="CB15" s="12">
        <f>CB14</f>
        <v>50</v>
      </c>
      <c r="CC15" s="13">
        <f>CC13</f>
        <v>-1005</v>
      </c>
      <c r="CD15" s="12">
        <f t="shared" si="83"/>
        <v>660</v>
      </c>
      <c r="CE15" s="13">
        <f t="shared" ref="CE15" si="93">CE13</f>
        <v>-1005</v>
      </c>
      <c r="CF15" s="12">
        <f t="shared" si="85"/>
        <v>1270</v>
      </c>
      <c r="CG15" s="13">
        <f t="shared" ref="CG15" si="94">CG13</f>
        <v>-1005</v>
      </c>
      <c r="CR15" s="9">
        <f>CR14</f>
        <v>3100</v>
      </c>
      <c r="CS15" s="11">
        <f>CS9</f>
        <v>-475</v>
      </c>
    </row>
    <row r="16" spans="1:99" ht="30" customHeight="1" x14ac:dyDescent="0.3">
      <c r="T16" s="33"/>
      <c r="U16" s="33"/>
      <c r="AL16" s="24">
        <f>AL6</f>
        <v>30</v>
      </c>
      <c r="AM16" s="25">
        <f>AM15</f>
        <v>1005</v>
      </c>
      <c r="AN16" s="24">
        <f t="shared" ref="AN16" si="95">AN6</f>
        <v>640</v>
      </c>
      <c r="AO16" s="25">
        <f t="shared" ref="AO16" si="96">AO15</f>
        <v>1005</v>
      </c>
      <c r="AP16" s="24">
        <f t="shared" ref="AP16" si="97">AP6</f>
        <v>1250</v>
      </c>
      <c r="AQ16" s="25">
        <f t="shared" ref="AQ16" si="98">AQ15</f>
        <v>1005</v>
      </c>
      <c r="AR16" s="24">
        <f>AR6</f>
        <v>30</v>
      </c>
      <c r="AS16" s="25">
        <f>AS15</f>
        <v>-5</v>
      </c>
      <c r="AT16" s="24">
        <f t="shared" ref="AT16" si="99">AT6</f>
        <v>640</v>
      </c>
      <c r="AU16" s="25">
        <f t="shared" ref="AU16" si="100">AU15</f>
        <v>-5</v>
      </c>
      <c r="AV16" s="24">
        <f t="shared" ref="AV16" si="101">AV6</f>
        <v>1250</v>
      </c>
      <c r="AW16" s="25">
        <f t="shared" ref="AW16" si="102">AW15</f>
        <v>-5</v>
      </c>
      <c r="BV16" s="24">
        <f>BV6</f>
        <v>30</v>
      </c>
      <c r="BW16" s="25">
        <f>BW15</f>
        <v>-495</v>
      </c>
      <c r="BX16" s="24">
        <f t="shared" ref="BX16" si="103">BX6</f>
        <v>640</v>
      </c>
      <c r="BY16" s="25">
        <f t="shared" ref="BY16" si="104">BY15</f>
        <v>-495</v>
      </c>
      <c r="BZ16" s="24">
        <f t="shared" ref="BZ16" si="105">BZ6</f>
        <v>1250</v>
      </c>
      <c r="CA16" s="25">
        <f t="shared" ref="CA16" si="106">CA15</f>
        <v>-495</v>
      </c>
      <c r="CB16" s="24">
        <f>CB6</f>
        <v>30</v>
      </c>
      <c r="CC16" s="25">
        <f>CC15</f>
        <v>-1005</v>
      </c>
      <c r="CD16" s="24">
        <f t="shared" ref="CD16" si="107">CD6</f>
        <v>640</v>
      </c>
      <c r="CE16" s="25">
        <f t="shared" ref="CE16" si="108">CE15</f>
        <v>-1005</v>
      </c>
      <c r="CF16" s="24">
        <f t="shared" ref="CF16" si="109">CF6</f>
        <v>1250</v>
      </c>
      <c r="CG16" s="25">
        <f t="shared" ref="CG16" si="110">CG15</f>
        <v>-1005</v>
      </c>
      <c r="CR16" s="9">
        <f>IF(CR6&lt;&gt;"",CR13-$C$6,"")</f>
        <v>3080</v>
      </c>
      <c r="CS16" s="11">
        <f>CS15</f>
        <v>-475</v>
      </c>
    </row>
    <row r="17" spans="4:97" ht="30" customHeight="1" x14ac:dyDescent="0.3"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33"/>
      <c r="U17" s="33"/>
      <c r="CR17" s="9">
        <f>CR16</f>
        <v>3080</v>
      </c>
      <c r="CS17" s="11">
        <f>CS11</f>
        <v>-500</v>
      </c>
    </row>
    <row r="18" spans="4:97" ht="30" customHeight="1" x14ac:dyDescent="0.3"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33"/>
      <c r="U18" s="33"/>
    </row>
    <row r="19" spans="4:97" ht="30" customHeight="1" x14ac:dyDescent="0.3">
      <c r="T19" s="33"/>
      <c r="U19" s="33"/>
    </row>
  </sheetData>
  <dataConsolidate/>
  <mergeCells count="51">
    <mergeCell ref="V2:AW2"/>
    <mergeCell ref="V3:W3"/>
    <mergeCell ref="X3:AI3"/>
    <mergeCell ref="AJ3:AK3"/>
    <mergeCell ref="V4:W4"/>
    <mergeCell ref="X4:AA4"/>
    <mergeCell ref="AB4:AE4"/>
    <mergeCell ref="AF4:AI4"/>
    <mergeCell ref="AN4:AO4"/>
    <mergeCell ref="AP4:AQ4"/>
    <mergeCell ref="AR4:AS4"/>
    <mergeCell ref="AT4:AU4"/>
    <mergeCell ref="AV4:AW4"/>
    <mergeCell ref="AZ3:BA3"/>
    <mergeCell ref="BT3:BU3"/>
    <mergeCell ref="BX4:BY4"/>
    <mergeCell ref="BZ4:CA4"/>
    <mergeCell ref="CB4:CC4"/>
    <mergeCell ref="BB4:BG4"/>
    <mergeCell ref="BH4:BM4"/>
    <mergeCell ref="BN4:BS4"/>
    <mergeCell ref="BB3:BS3"/>
    <mergeCell ref="BV4:BW4"/>
    <mergeCell ref="D17:S18"/>
    <mergeCell ref="T2:U3"/>
    <mergeCell ref="A10:A11"/>
    <mergeCell ref="A12:A15"/>
    <mergeCell ref="A5:A9"/>
    <mergeCell ref="A2:C2"/>
    <mergeCell ref="A3:A4"/>
    <mergeCell ref="CD4:CE4"/>
    <mergeCell ref="CF4:CG4"/>
    <mergeCell ref="CN4:CO4"/>
    <mergeCell ref="CP4:CQ4"/>
    <mergeCell ref="CR4:CS4"/>
    <mergeCell ref="AX3:AY3"/>
    <mergeCell ref="AZ4:BA4"/>
    <mergeCell ref="AJ4:AK4"/>
    <mergeCell ref="CH2:CU2"/>
    <mergeCell ref="CJ3:CU3"/>
    <mergeCell ref="CH3:CI3"/>
    <mergeCell ref="CJ4:CK4"/>
    <mergeCell ref="CL4:CM4"/>
    <mergeCell ref="AL3:AQ3"/>
    <mergeCell ref="AR3:AW3"/>
    <mergeCell ref="BV3:CA3"/>
    <mergeCell ref="CB3:CG3"/>
    <mergeCell ref="AX2:CG2"/>
    <mergeCell ref="CT4:CU4"/>
    <mergeCell ref="BT4:BU4"/>
    <mergeCell ref="AL4:AM4"/>
  </mergeCells>
  <dataValidations count="2">
    <dataValidation type="list" allowBlank="1" showInputMessage="1" showErrorMessage="1" sqref="C10">
      <formula1>"INNER,OUTER"</formula1>
    </dataValidation>
    <dataValidation type="list" allowBlank="1" showInputMessage="1" showErrorMessage="1" sqref="C5">
      <formula1>"AL,CRCA"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9</xdr:col>
                <xdr:colOff>266700</xdr:colOff>
                <xdr:row>16</xdr:row>
                <xdr:rowOff>144780</xdr:rowOff>
              </from>
              <to>
                <xdr:col>11</xdr:col>
                <xdr:colOff>579120</xdr:colOff>
                <xdr:row>17</xdr:row>
                <xdr:rowOff>289560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4" r:id="rId6" name="Check Box 10">
          <controlPr defaultSize="0" autoFill="0" autoLine="0" autoPict="0" altText="">
            <anchor moveWithCells="1">
              <from>
                <xdr:col>2</xdr:col>
                <xdr:colOff>129540</xdr:colOff>
                <xdr:row>12</xdr:row>
                <xdr:rowOff>30480</xdr:rowOff>
              </from>
              <to>
                <xdr:col>2</xdr:col>
                <xdr:colOff>1089660</xdr:colOff>
                <xdr:row>12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Check Box 11">
          <controlPr defaultSize="0" autoFill="0" autoLine="0" autoPict="0">
            <anchor moveWithCells="1">
              <from>
                <xdr:col>2</xdr:col>
                <xdr:colOff>129540</xdr:colOff>
                <xdr:row>13</xdr:row>
                <xdr:rowOff>7620</xdr:rowOff>
              </from>
              <to>
                <xdr:col>2</xdr:col>
                <xdr:colOff>1074420</xdr:colOff>
                <xdr:row>13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Check Box 12">
          <controlPr defaultSize="0" autoFill="0" autoLine="0" autoPict="0">
            <anchor moveWithCells="1">
              <from>
                <xdr:col>2</xdr:col>
                <xdr:colOff>129540</xdr:colOff>
                <xdr:row>14</xdr:row>
                <xdr:rowOff>22860</xdr:rowOff>
              </from>
              <to>
                <xdr:col>2</xdr:col>
                <xdr:colOff>1074420</xdr:colOff>
                <xdr:row>14</xdr:row>
                <xdr:rowOff>251460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Cross-sections</vt:lpstr>
      <vt:lpstr>Busduct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DESIGN-2</dc:creator>
  <cp:lastModifiedBy>Diptanshu Das</cp:lastModifiedBy>
  <dcterms:created xsi:type="dcterms:W3CDTF">2022-08-18T05:09:35Z</dcterms:created>
  <dcterms:modified xsi:type="dcterms:W3CDTF">2023-08-04T11:34:33Z</dcterms:modified>
</cp:coreProperties>
</file>